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an-baptisteblandino/Documents/GitHub/BreviaireOP/"/>
    </mc:Choice>
  </mc:AlternateContent>
  <xr:revisionPtr revIDLastSave="0" documentId="13_ncr:1_{3616ED69-4A3A-5444-A006-5E6DC27B83A1}" xr6:coauthVersionLast="47" xr6:coauthVersionMax="47" xr10:uidLastSave="{00000000-0000-0000-0000-000000000000}"/>
  <bookViews>
    <workbookView xWindow="4740" yWindow="-20560" windowWidth="28800" windowHeight="16600" tabRatio="687" xr2:uid="{00000000-000D-0000-FFFF-FFFF00000000}"/>
  </bookViews>
  <sheets>
    <sheet name="Vigiles R" sheetId="7" r:id="rId1"/>
    <sheet name="Laudes R" sheetId="2" r:id="rId2"/>
    <sheet name="MdJ R" sheetId="5" r:id="rId3"/>
    <sheet name="Vêpres R" sheetId="8" r:id="rId4"/>
    <sheet name="Comp R" sheetId="6" r:id="rId5"/>
    <sheet name="TO R" sheetId="1" r:id="rId6"/>
    <sheet name="TO G" sheetId="13" r:id="rId7"/>
    <sheet name="TO G Vig+MDJ" sheetId="4" r:id="rId8"/>
    <sheet name="Carême G" sheetId="3" r:id="rId9"/>
    <sheet name="Oct. pasc R+G" sheetId="19" r:id="rId10"/>
    <sheet name="TPG Travail" sheetId="17" r:id="rId11"/>
    <sheet name="TP G" sheetId="16" r:id="rId12"/>
    <sheet name="Asc.-Pentecôte" sheetId="18" r:id="rId13"/>
    <sheet name="1962" sheetId="9" r:id="rId14"/>
    <sheet name="1962 (2)" sheetId="12" r:id="rId15"/>
    <sheet name="TO G (2)" sheetId="14" r:id="rId16"/>
    <sheet name="Feuil2" sheetId="15" r:id="rId17"/>
  </sheets>
  <definedNames>
    <definedName name="_xlnm._FilterDatabase" localSheetId="16" hidden="1">Feuil2!$A$1:$B$442</definedName>
    <definedName name="_xlnm._FilterDatabase" localSheetId="0" hidden="1">'Vigiles R'!$A$1:$B$128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4" i="17" l="1"/>
  <c r="H4" i="17" s="1"/>
  <c r="G4" i="17"/>
  <c r="F5" i="17"/>
  <c r="H5" i="17" s="1"/>
  <c r="G5" i="17"/>
  <c r="F6" i="17"/>
  <c r="H6" i="17" s="1"/>
  <c r="G6" i="17"/>
  <c r="F7" i="17"/>
  <c r="H7" i="17" s="1"/>
  <c r="G7" i="17"/>
  <c r="F8" i="17"/>
  <c r="H8" i="17" s="1"/>
  <c r="G8" i="17"/>
  <c r="F9" i="17"/>
  <c r="H9" i="17" s="1"/>
  <c r="G9" i="17"/>
  <c r="F10" i="17"/>
  <c r="H10" i="17" s="1"/>
  <c r="G10" i="17"/>
  <c r="F11" i="17"/>
  <c r="H11" i="17" s="1"/>
  <c r="G11" i="17"/>
  <c r="F12" i="17"/>
  <c r="H12" i="17" s="1"/>
  <c r="G12" i="17"/>
  <c r="F13" i="17"/>
  <c r="H13" i="17" s="1"/>
  <c r="G13" i="17"/>
  <c r="F14" i="17"/>
  <c r="H14" i="17" s="1"/>
  <c r="G14" i="17"/>
  <c r="F15" i="17"/>
  <c r="H15" i="17" s="1"/>
  <c r="G15" i="17"/>
  <c r="F16" i="17"/>
  <c r="H16" i="17" s="1"/>
  <c r="G16" i="17"/>
  <c r="F17" i="17"/>
  <c r="H17" i="17" s="1"/>
  <c r="G17" i="17"/>
  <c r="F18" i="17"/>
  <c r="H18" i="17" s="1"/>
  <c r="G18" i="17"/>
  <c r="F19" i="17"/>
  <c r="H19" i="17" s="1"/>
  <c r="G19" i="17"/>
  <c r="F20" i="17"/>
  <c r="H20" i="17" s="1"/>
  <c r="G20" i="17"/>
  <c r="F21" i="17"/>
  <c r="H21" i="17" s="1"/>
  <c r="G21" i="17"/>
  <c r="F22" i="17"/>
  <c r="H22" i="17" s="1"/>
  <c r="G22" i="17"/>
  <c r="F23" i="17"/>
  <c r="H23" i="17" s="1"/>
  <c r="G23" i="17"/>
  <c r="F24" i="17"/>
  <c r="H24" i="17" s="1"/>
  <c r="G24" i="17"/>
  <c r="F25" i="17"/>
  <c r="H25" i="17" s="1"/>
  <c r="G25" i="17"/>
  <c r="F26" i="17"/>
  <c r="H26" i="17" s="1"/>
  <c r="G26" i="17"/>
  <c r="F27" i="17"/>
  <c r="H27" i="17" s="1"/>
  <c r="G27" i="17"/>
  <c r="F28" i="17"/>
  <c r="H28" i="17" s="1"/>
  <c r="G28" i="17"/>
  <c r="F29" i="17"/>
  <c r="H29" i="17" s="1"/>
  <c r="G29" i="17"/>
  <c r="F30" i="17"/>
  <c r="H30" i="17" s="1"/>
  <c r="G30" i="17"/>
  <c r="F31" i="17"/>
  <c r="H31" i="17" s="1"/>
  <c r="G31" i="17"/>
  <c r="F32" i="17"/>
  <c r="H32" i="17" s="1"/>
  <c r="G32" i="17"/>
  <c r="F33" i="17"/>
  <c r="H33" i="17" s="1"/>
  <c r="G33" i="17"/>
  <c r="F34" i="17"/>
  <c r="H34" i="17" s="1"/>
  <c r="G34" i="17"/>
  <c r="F35" i="17"/>
  <c r="H35" i="17" s="1"/>
  <c r="G35" i="17"/>
  <c r="F36" i="17"/>
  <c r="H36" i="17" s="1"/>
  <c r="G36" i="17"/>
  <c r="F37" i="17"/>
  <c r="H37" i="17" s="1"/>
  <c r="G37" i="17"/>
  <c r="F38" i="17"/>
  <c r="H38" i="17" s="1"/>
  <c r="G38" i="17"/>
  <c r="F39" i="17"/>
  <c r="H39" i="17" s="1"/>
  <c r="G39" i="17"/>
  <c r="F40" i="17"/>
  <c r="H40" i="17" s="1"/>
  <c r="G40" i="17"/>
  <c r="F41" i="17"/>
  <c r="H41" i="17" s="1"/>
  <c r="G41" i="17"/>
  <c r="F42" i="17"/>
  <c r="H42" i="17" s="1"/>
  <c r="G42" i="17"/>
  <c r="F43" i="17"/>
  <c r="H43" i="17" s="1"/>
  <c r="G43" i="17"/>
  <c r="F44" i="17"/>
  <c r="H44" i="17" s="1"/>
  <c r="G44" i="17"/>
  <c r="F45" i="17"/>
  <c r="H45" i="17" s="1"/>
  <c r="G45" i="17"/>
  <c r="F46" i="17"/>
  <c r="H46" i="17" s="1"/>
  <c r="G46" i="17"/>
  <c r="F47" i="17"/>
  <c r="H47" i="17" s="1"/>
  <c r="G47" i="17"/>
  <c r="F48" i="17"/>
  <c r="H48" i="17" s="1"/>
  <c r="G48" i="17"/>
  <c r="F49" i="17"/>
  <c r="H49" i="17" s="1"/>
  <c r="G49" i="17"/>
  <c r="F50" i="17"/>
  <c r="H50" i="17" s="1"/>
  <c r="G50" i="17"/>
  <c r="F51" i="17"/>
  <c r="H51" i="17" s="1"/>
  <c r="G51" i="17"/>
  <c r="F52" i="17"/>
  <c r="H52" i="17" s="1"/>
  <c r="G52" i="17"/>
  <c r="F53" i="17"/>
  <c r="H53" i="17" s="1"/>
  <c r="G53" i="17"/>
  <c r="F54" i="17"/>
  <c r="H54" i="17" s="1"/>
  <c r="G54" i="17"/>
  <c r="F55" i="17"/>
  <c r="H55" i="17" s="1"/>
  <c r="G55" i="17"/>
  <c r="F56" i="17"/>
  <c r="H56" i="17" s="1"/>
  <c r="G56" i="17"/>
  <c r="F57" i="17"/>
  <c r="H57" i="17" s="1"/>
  <c r="G57" i="17"/>
  <c r="F58" i="17"/>
  <c r="H58" i="17" s="1"/>
  <c r="G58" i="17"/>
  <c r="F59" i="17"/>
  <c r="H59" i="17" s="1"/>
  <c r="G59" i="17"/>
  <c r="F60" i="17"/>
  <c r="H60" i="17" s="1"/>
  <c r="G60" i="17"/>
  <c r="F61" i="17"/>
  <c r="H61" i="17" s="1"/>
  <c r="G61" i="17"/>
  <c r="F62" i="17"/>
  <c r="H62" i="17" s="1"/>
  <c r="G62" i="17"/>
  <c r="F63" i="17"/>
  <c r="H63" i="17" s="1"/>
  <c r="G63" i="17"/>
  <c r="F64" i="17"/>
  <c r="H64" i="17" s="1"/>
  <c r="G64" i="17"/>
  <c r="F65" i="17"/>
  <c r="H65" i="17" s="1"/>
  <c r="G65" i="17"/>
  <c r="F66" i="17"/>
  <c r="H66" i="17" s="1"/>
  <c r="G66" i="17"/>
  <c r="F67" i="17"/>
  <c r="H67" i="17" s="1"/>
  <c r="G67" i="17"/>
  <c r="F68" i="17"/>
  <c r="H68" i="17" s="1"/>
  <c r="G68" i="17"/>
  <c r="F69" i="17"/>
  <c r="H69" i="17" s="1"/>
  <c r="G69" i="17"/>
  <c r="F70" i="17"/>
  <c r="H70" i="17" s="1"/>
  <c r="G70" i="17"/>
  <c r="F71" i="17"/>
  <c r="H71" i="17" s="1"/>
  <c r="G71" i="17"/>
  <c r="F72" i="17"/>
  <c r="H72" i="17" s="1"/>
  <c r="G72" i="17"/>
  <c r="F73" i="17"/>
  <c r="H73" i="17" s="1"/>
  <c r="G73" i="17"/>
  <c r="F74" i="17"/>
  <c r="H74" i="17" s="1"/>
  <c r="G74" i="17"/>
  <c r="F75" i="17"/>
  <c r="H75" i="17" s="1"/>
  <c r="G75" i="17"/>
  <c r="F76" i="17"/>
  <c r="H76" i="17" s="1"/>
  <c r="G76" i="17"/>
  <c r="F77" i="17"/>
  <c r="H77" i="17" s="1"/>
  <c r="G77" i="17"/>
  <c r="F78" i="17"/>
  <c r="H78" i="17" s="1"/>
  <c r="G78" i="17"/>
  <c r="F79" i="17"/>
  <c r="H79" i="17" s="1"/>
  <c r="G79" i="17"/>
  <c r="F80" i="17"/>
  <c r="H80" i="17" s="1"/>
  <c r="G80" i="17"/>
  <c r="F81" i="17"/>
  <c r="H81" i="17" s="1"/>
  <c r="G81" i="17"/>
  <c r="F82" i="17"/>
  <c r="H82" i="17" s="1"/>
  <c r="G82" i="17"/>
  <c r="F83" i="17"/>
  <c r="H83" i="17" s="1"/>
  <c r="G83" i="17"/>
  <c r="F84" i="17"/>
  <c r="H84" i="17" s="1"/>
  <c r="G84" i="17"/>
  <c r="F85" i="17"/>
  <c r="H85" i="17" s="1"/>
  <c r="G85" i="17"/>
  <c r="F86" i="17"/>
  <c r="H86" i="17" s="1"/>
  <c r="G86" i="17"/>
  <c r="F87" i="17"/>
  <c r="H87" i="17" s="1"/>
  <c r="G87" i="17"/>
  <c r="F88" i="17"/>
  <c r="H88" i="17" s="1"/>
  <c r="G88" i="17"/>
  <c r="F89" i="17"/>
  <c r="H89" i="17" s="1"/>
  <c r="G89" i="17"/>
  <c r="F90" i="17"/>
  <c r="H90" i="17" s="1"/>
  <c r="G90" i="17"/>
  <c r="F91" i="17"/>
  <c r="H91" i="17" s="1"/>
  <c r="G91" i="17"/>
  <c r="F92" i="17"/>
  <c r="H92" i="17" s="1"/>
  <c r="G92" i="17"/>
  <c r="F93" i="17"/>
  <c r="H93" i="17" s="1"/>
  <c r="G93" i="17"/>
  <c r="F94" i="17"/>
  <c r="H94" i="17" s="1"/>
  <c r="G94" i="17"/>
  <c r="F95" i="17"/>
  <c r="H95" i="17" s="1"/>
  <c r="G95" i="17"/>
  <c r="F96" i="17"/>
  <c r="H96" i="17" s="1"/>
  <c r="G96" i="17"/>
  <c r="F97" i="17"/>
  <c r="H97" i="17" s="1"/>
  <c r="G97" i="17"/>
  <c r="F98" i="17"/>
  <c r="H98" i="17" s="1"/>
  <c r="G98" i="17"/>
  <c r="F99" i="17"/>
  <c r="H99" i="17" s="1"/>
  <c r="G99" i="17"/>
  <c r="F100" i="17"/>
  <c r="H100" i="17" s="1"/>
  <c r="G100" i="17"/>
  <c r="F101" i="17"/>
  <c r="H101" i="17" s="1"/>
  <c r="G101" i="17"/>
  <c r="F102" i="17"/>
  <c r="H102" i="17" s="1"/>
  <c r="G102" i="17"/>
  <c r="F103" i="17"/>
  <c r="H103" i="17" s="1"/>
  <c r="G103" i="17"/>
  <c r="F104" i="17"/>
  <c r="H104" i="17" s="1"/>
  <c r="G104" i="17"/>
  <c r="F105" i="17"/>
  <c r="H105" i="17" s="1"/>
  <c r="G105" i="17"/>
  <c r="F106" i="17"/>
  <c r="H106" i="17" s="1"/>
  <c r="G106" i="17"/>
  <c r="F107" i="17"/>
  <c r="H107" i="17" s="1"/>
  <c r="G107" i="17"/>
  <c r="F108" i="17"/>
  <c r="H108" i="17" s="1"/>
  <c r="G108" i="17"/>
  <c r="F109" i="17"/>
  <c r="H109" i="17" s="1"/>
  <c r="G109" i="17"/>
  <c r="F110" i="17"/>
  <c r="H110" i="17" s="1"/>
  <c r="G110" i="17"/>
  <c r="F111" i="17"/>
  <c r="H111" i="17" s="1"/>
  <c r="G111" i="17"/>
  <c r="F112" i="17"/>
  <c r="H112" i="17" s="1"/>
  <c r="G112" i="17"/>
  <c r="F113" i="17"/>
  <c r="H113" i="17" s="1"/>
  <c r="G113" i="17"/>
  <c r="F114" i="17"/>
  <c r="H114" i="17" s="1"/>
  <c r="G114" i="17"/>
  <c r="F115" i="17"/>
  <c r="H115" i="17" s="1"/>
  <c r="G115" i="17"/>
  <c r="F116" i="17"/>
  <c r="H116" i="17" s="1"/>
  <c r="G116" i="17"/>
  <c r="F117" i="17"/>
  <c r="H117" i="17" s="1"/>
  <c r="G117" i="17"/>
  <c r="F118" i="17"/>
  <c r="H118" i="17" s="1"/>
  <c r="G118" i="17"/>
  <c r="F119" i="17"/>
  <c r="H119" i="17" s="1"/>
  <c r="G119" i="17"/>
  <c r="F120" i="17"/>
  <c r="H120" i="17" s="1"/>
  <c r="G120" i="17"/>
  <c r="F121" i="17"/>
  <c r="H121" i="17" s="1"/>
  <c r="G121" i="17"/>
  <c r="F122" i="17"/>
  <c r="H122" i="17" s="1"/>
  <c r="G122" i="17"/>
  <c r="F123" i="17"/>
  <c r="H123" i="17" s="1"/>
  <c r="G123" i="17"/>
  <c r="F124" i="17"/>
  <c r="H124" i="17" s="1"/>
  <c r="G124" i="17"/>
  <c r="F125" i="17"/>
  <c r="H125" i="17" s="1"/>
  <c r="G125" i="17"/>
  <c r="F126" i="17"/>
  <c r="H126" i="17" s="1"/>
  <c r="G126" i="17"/>
  <c r="F127" i="17"/>
  <c r="H127" i="17" s="1"/>
  <c r="G127" i="17"/>
  <c r="F128" i="17"/>
  <c r="H128" i="17" s="1"/>
  <c r="G128" i="17"/>
  <c r="F129" i="17"/>
  <c r="H129" i="17" s="1"/>
  <c r="G129" i="17"/>
  <c r="F130" i="17"/>
  <c r="H130" i="17" s="1"/>
  <c r="G130" i="17"/>
  <c r="F131" i="17"/>
  <c r="H131" i="17" s="1"/>
  <c r="G131" i="17"/>
  <c r="F132" i="17"/>
  <c r="H132" i="17" s="1"/>
  <c r="G132" i="17"/>
  <c r="F133" i="17"/>
  <c r="H133" i="17" s="1"/>
  <c r="G133" i="17"/>
  <c r="F134" i="17"/>
  <c r="H134" i="17" s="1"/>
  <c r="G134" i="17"/>
  <c r="F135" i="17"/>
  <c r="H135" i="17" s="1"/>
  <c r="G135" i="17"/>
  <c r="F136" i="17"/>
  <c r="H136" i="17" s="1"/>
  <c r="G136" i="17"/>
  <c r="F137" i="17"/>
  <c r="H137" i="17" s="1"/>
  <c r="G137" i="17"/>
  <c r="F138" i="17"/>
  <c r="H138" i="17" s="1"/>
  <c r="G138" i="17"/>
  <c r="F139" i="17"/>
  <c r="H139" i="17" s="1"/>
  <c r="G139" i="17"/>
  <c r="F140" i="17"/>
  <c r="H140" i="17" s="1"/>
  <c r="G140" i="17"/>
  <c r="F141" i="17"/>
  <c r="H141" i="17" s="1"/>
  <c r="G141" i="17"/>
  <c r="F142" i="17"/>
  <c r="H142" i="17" s="1"/>
  <c r="G142" i="17"/>
  <c r="F143" i="17"/>
  <c r="H143" i="17" s="1"/>
  <c r="G143" i="17"/>
  <c r="F144" i="17"/>
  <c r="H144" i="17" s="1"/>
  <c r="G144" i="17"/>
  <c r="F145" i="17"/>
  <c r="H145" i="17" s="1"/>
  <c r="G145" i="17"/>
  <c r="F146" i="17"/>
  <c r="H146" i="17" s="1"/>
  <c r="G146" i="17"/>
  <c r="F147" i="17"/>
  <c r="H147" i="17" s="1"/>
  <c r="G147" i="17"/>
  <c r="F148" i="17"/>
  <c r="H148" i="17" s="1"/>
  <c r="G148" i="17"/>
  <c r="F149" i="17"/>
  <c r="H149" i="17" s="1"/>
  <c r="G149" i="17"/>
  <c r="F150" i="17"/>
  <c r="H150" i="17" s="1"/>
  <c r="G150" i="17"/>
  <c r="F151" i="17"/>
  <c r="H151" i="17" s="1"/>
  <c r="G151" i="17"/>
  <c r="F152" i="17"/>
  <c r="H152" i="17" s="1"/>
  <c r="G152" i="17"/>
  <c r="G3" i="17"/>
  <c r="F3" i="17"/>
  <c r="H3" i="17" s="1"/>
  <c r="A1" i="14"/>
  <c r="B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U1" i="14"/>
  <c r="V1" i="14"/>
  <c r="W1" i="14"/>
  <c r="X1" i="14"/>
  <c r="Y1" i="14"/>
  <c r="Z1" i="14"/>
  <c r="AA1" i="14"/>
  <c r="AB1" i="14"/>
  <c r="AC1" i="14"/>
  <c r="AD1" i="14"/>
  <c r="A2" i="14"/>
  <c r="B2" i="14"/>
  <c r="C2" i="14"/>
  <c r="D2" i="14"/>
  <c r="E2" i="14"/>
  <c r="F2" i="14"/>
  <c r="H2" i="14"/>
  <c r="J2" i="14"/>
  <c r="L2" i="14"/>
  <c r="N2" i="14"/>
  <c r="O2" i="14"/>
  <c r="P2" i="14"/>
  <c r="Q2" i="14"/>
  <c r="R2" i="14"/>
  <c r="S2" i="14"/>
  <c r="T2" i="14"/>
  <c r="U2" i="14"/>
  <c r="V2" i="14"/>
  <c r="X2" i="14"/>
  <c r="Z2" i="14"/>
  <c r="AB2" i="14"/>
  <c r="AD2" i="14"/>
  <c r="A3" i="14"/>
  <c r="B3" i="14"/>
  <c r="B24" i="14"/>
  <c r="B45" i="14"/>
  <c r="B66" i="14"/>
  <c r="B87" i="14"/>
  <c r="G3" i="14"/>
  <c r="B108" i="14"/>
  <c r="I3" i="14"/>
  <c r="B129" i="14"/>
  <c r="K3" i="14"/>
  <c r="B150" i="14"/>
  <c r="M3" i="14"/>
  <c r="B171" i="14"/>
  <c r="B192" i="14"/>
  <c r="B213" i="14"/>
  <c r="B234" i="14"/>
  <c r="B255" i="14"/>
  <c r="B276" i="14"/>
  <c r="B297" i="14"/>
  <c r="B318" i="14"/>
  <c r="V3" i="14"/>
  <c r="W3" i="14"/>
  <c r="X3" i="14"/>
  <c r="Y3" i="14"/>
  <c r="Z3" i="14"/>
  <c r="AA3" i="14"/>
  <c r="AB3" i="14"/>
  <c r="AC3" i="14"/>
  <c r="AD3" i="14"/>
  <c r="B4" i="14"/>
  <c r="B25" i="14"/>
  <c r="B46" i="14"/>
  <c r="B67" i="14"/>
  <c r="B88" i="14"/>
  <c r="G4" i="14"/>
  <c r="B109" i="14"/>
  <c r="I4" i="14"/>
  <c r="B130" i="14"/>
  <c r="K4" i="14"/>
  <c r="B151" i="14"/>
  <c r="M4" i="14"/>
  <c r="B172" i="14"/>
  <c r="B193" i="14"/>
  <c r="B214" i="14"/>
  <c r="B235" i="14"/>
  <c r="B256" i="14"/>
  <c r="B277" i="14"/>
  <c r="B298" i="14"/>
  <c r="B319" i="14"/>
  <c r="V4" i="14"/>
  <c r="W4" i="14"/>
  <c r="X4" i="14"/>
  <c r="Y4" i="14"/>
  <c r="Z4" i="14"/>
  <c r="AA4" i="14"/>
  <c r="AB4" i="14"/>
  <c r="AC4" i="14"/>
  <c r="AD4" i="14"/>
  <c r="B5" i="14"/>
  <c r="B26" i="14"/>
  <c r="B47" i="14"/>
  <c r="B68" i="14"/>
  <c r="B89" i="14"/>
  <c r="G5" i="14"/>
  <c r="B110" i="14"/>
  <c r="I5" i="14"/>
  <c r="B131" i="14"/>
  <c r="K5" i="14"/>
  <c r="B152" i="14"/>
  <c r="M5" i="14"/>
  <c r="B173" i="14"/>
  <c r="B194" i="14"/>
  <c r="B215" i="14"/>
  <c r="B236" i="14"/>
  <c r="B257" i="14"/>
  <c r="B278" i="14"/>
  <c r="B299" i="14"/>
  <c r="B320" i="14"/>
  <c r="V5" i="14"/>
  <c r="W5" i="14"/>
  <c r="X5" i="14"/>
  <c r="Y5" i="14"/>
  <c r="Z5" i="14"/>
  <c r="AA5" i="14"/>
  <c r="AB5" i="14"/>
  <c r="AC5" i="14"/>
  <c r="AD5" i="14"/>
  <c r="A6" i="14"/>
  <c r="B6" i="14"/>
  <c r="B27" i="14"/>
  <c r="B48" i="14"/>
  <c r="B69" i="14"/>
  <c r="B90" i="14"/>
  <c r="G6" i="14"/>
  <c r="B111" i="14"/>
  <c r="I6" i="14"/>
  <c r="B132" i="14"/>
  <c r="K6" i="14"/>
  <c r="B153" i="14"/>
  <c r="M6" i="14"/>
  <c r="B174" i="14"/>
  <c r="B195" i="14"/>
  <c r="B216" i="14"/>
  <c r="B237" i="14"/>
  <c r="B258" i="14"/>
  <c r="B279" i="14"/>
  <c r="B300" i="14"/>
  <c r="B321" i="14"/>
  <c r="V6" i="14"/>
  <c r="W6" i="14"/>
  <c r="X6" i="14"/>
  <c r="Y6" i="14"/>
  <c r="Z6" i="14"/>
  <c r="AA6" i="14"/>
  <c r="AB6" i="14"/>
  <c r="AC6" i="14"/>
  <c r="AD6" i="14"/>
  <c r="B7" i="14"/>
  <c r="B28" i="14"/>
  <c r="B49" i="14"/>
  <c r="B70" i="14"/>
  <c r="B91" i="14"/>
  <c r="G7" i="14"/>
  <c r="B112" i="14"/>
  <c r="I7" i="14"/>
  <c r="B133" i="14"/>
  <c r="K7" i="14"/>
  <c r="B154" i="14"/>
  <c r="M7" i="14"/>
  <c r="B175" i="14"/>
  <c r="B196" i="14"/>
  <c r="B217" i="14"/>
  <c r="B238" i="14"/>
  <c r="B259" i="14"/>
  <c r="B280" i="14"/>
  <c r="B301" i="14"/>
  <c r="B322" i="14"/>
  <c r="V7" i="14"/>
  <c r="W7" i="14"/>
  <c r="X7" i="14"/>
  <c r="Y7" i="14"/>
  <c r="Z7" i="14"/>
  <c r="AA7" i="14"/>
  <c r="AB7" i="14"/>
  <c r="AC7" i="14"/>
  <c r="AD7" i="14"/>
  <c r="B8" i="14"/>
  <c r="B29" i="14"/>
  <c r="B50" i="14"/>
  <c r="B71" i="14"/>
  <c r="B92" i="14"/>
  <c r="G8" i="14"/>
  <c r="B113" i="14"/>
  <c r="I8" i="14"/>
  <c r="B134" i="14"/>
  <c r="K8" i="14"/>
  <c r="B155" i="14"/>
  <c r="M8" i="14"/>
  <c r="B176" i="14"/>
  <c r="B197" i="14"/>
  <c r="B218" i="14"/>
  <c r="B239" i="14"/>
  <c r="B260" i="14"/>
  <c r="B281" i="14"/>
  <c r="B302" i="14"/>
  <c r="B323" i="14"/>
  <c r="V8" i="14"/>
  <c r="W8" i="14"/>
  <c r="X8" i="14"/>
  <c r="Y8" i="14"/>
  <c r="Z8" i="14"/>
  <c r="AA8" i="14"/>
  <c r="AB8" i="14"/>
  <c r="AC8" i="14"/>
  <c r="AD8" i="14"/>
  <c r="A9" i="14"/>
  <c r="B9" i="14"/>
  <c r="B30" i="14"/>
  <c r="B51" i="14"/>
  <c r="B72" i="14"/>
  <c r="B93" i="14"/>
  <c r="G9" i="14"/>
  <c r="B114" i="14"/>
  <c r="I9" i="14"/>
  <c r="B135" i="14"/>
  <c r="K9" i="14"/>
  <c r="B156" i="14"/>
  <c r="M9" i="14"/>
  <c r="B177" i="14"/>
  <c r="B198" i="14"/>
  <c r="B219" i="14"/>
  <c r="B240" i="14"/>
  <c r="B261" i="14"/>
  <c r="B282" i="14"/>
  <c r="B303" i="14"/>
  <c r="B324" i="14"/>
  <c r="V9" i="14"/>
  <c r="W9" i="14"/>
  <c r="X9" i="14"/>
  <c r="Y9" i="14"/>
  <c r="Z9" i="14"/>
  <c r="AA9" i="14"/>
  <c r="AB9" i="14"/>
  <c r="AC9" i="14"/>
  <c r="AD9" i="14"/>
  <c r="B10" i="14"/>
  <c r="B31" i="14"/>
  <c r="B52" i="14"/>
  <c r="B73" i="14"/>
  <c r="B94" i="14"/>
  <c r="G10" i="14"/>
  <c r="B115" i="14"/>
  <c r="I10" i="14"/>
  <c r="B136" i="14"/>
  <c r="K10" i="14"/>
  <c r="B157" i="14"/>
  <c r="M10" i="14"/>
  <c r="B178" i="14"/>
  <c r="B199" i="14"/>
  <c r="B220" i="14"/>
  <c r="B241" i="14"/>
  <c r="B262" i="14"/>
  <c r="B283" i="14"/>
  <c r="B304" i="14"/>
  <c r="B325" i="14"/>
  <c r="V10" i="14"/>
  <c r="W10" i="14"/>
  <c r="X10" i="14"/>
  <c r="Y10" i="14"/>
  <c r="Z10" i="14"/>
  <c r="AA10" i="14"/>
  <c r="AB10" i="14"/>
  <c r="AC10" i="14"/>
  <c r="AD10" i="14"/>
  <c r="B11" i="14"/>
  <c r="B32" i="14"/>
  <c r="B53" i="14"/>
  <c r="B74" i="14"/>
  <c r="B95" i="14"/>
  <c r="G11" i="14"/>
  <c r="B116" i="14"/>
  <c r="I11" i="14"/>
  <c r="B137" i="14"/>
  <c r="K11" i="14"/>
  <c r="B158" i="14"/>
  <c r="M11" i="14"/>
  <c r="B179" i="14"/>
  <c r="B200" i="14"/>
  <c r="B221" i="14"/>
  <c r="B242" i="14"/>
  <c r="B263" i="14"/>
  <c r="B284" i="14"/>
  <c r="B305" i="14"/>
  <c r="B326" i="14"/>
  <c r="V11" i="14"/>
  <c r="W11" i="14"/>
  <c r="X11" i="14"/>
  <c r="Y11" i="14"/>
  <c r="Z11" i="14"/>
  <c r="AA11" i="14"/>
  <c r="AB11" i="14"/>
  <c r="AC11" i="14"/>
  <c r="AD11" i="14"/>
  <c r="A12" i="14"/>
  <c r="B12" i="14"/>
  <c r="B33" i="14"/>
  <c r="B54" i="14"/>
  <c r="B75" i="14"/>
  <c r="B96" i="14"/>
  <c r="G12" i="14"/>
  <c r="B117" i="14"/>
  <c r="I12" i="14"/>
  <c r="B138" i="14"/>
  <c r="K12" i="14"/>
  <c r="B159" i="14"/>
  <c r="M12" i="14"/>
  <c r="B180" i="14"/>
  <c r="B201" i="14"/>
  <c r="B222" i="14"/>
  <c r="B243" i="14"/>
  <c r="B264" i="14"/>
  <c r="B285" i="14"/>
  <c r="B306" i="14"/>
  <c r="B327" i="14"/>
  <c r="V12" i="14"/>
  <c r="W12" i="14"/>
  <c r="X12" i="14"/>
  <c r="Y12" i="14"/>
  <c r="Z12" i="14"/>
  <c r="AA12" i="14"/>
  <c r="AB12" i="14"/>
  <c r="AC12" i="14"/>
  <c r="AD12" i="14"/>
  <c r="B13" i="14"/>
  <c r="B34" i="14"/>
  <c r="B55" i="14"/>
  <c r="B76" i="14"/>
  <c r="B97" i="14"/>
  <c r="G13" i="14"/>
  <c r="B118" i="14"/>
  <c r="I13" i="14"/>
  <c r="B139" i="14"/>
  <c r="K13" i="14"/>
  <c r="B160" i="14"/>
  <c r="M13" i="14"/>
  <c r="B181" i="14"/>
  <c r="B202" i="14"/>
  <c r="B223" i="14"/>
  <c r="B244" i="14"/>
  <c r="B265" i="14"/>
  <c r="B286" i="14"/>
  <c r="B307" i="14"/>
  <c r="B328" i="14"/>
  <c r="V13" i="14"/>
  <c r="W13" i="14"/>
  <c r="X13" i="14"/>
  <c r="Y13" i="14"/>
  <c r="Z13" i="14"/>
  <c r="AA13" i="14"/>
  <c r="AB13" i="14"/>
  <c r="AC13" i="14"/>
  <c r="AD13" i="14"/>
  <c r="B14" i="14"/>
  <c r="B35" i="14"/>
  <c r="B56" i="14"/>
  <c r="B77" i="14"/>
  <c r="B98" i="14"/>
  <c r="G14" i="14"/>
  <c r="B119" i="14"/>
  <c r="I14" i="14"/>
  <c r="B140" i="14"/>
  <c r="K14" i="14"/>
  <c r="B161" i="14"/>
  <c r="M14" i="14"/>
  <c r="B182" i="14"/>
  <c r="B203" i="14"/>
  <c r="B224" i="14"/>
  <c r="B245" i="14"/>
  <c r="B266" i="14"/>
  <c r="B287" i="14"/>
  <c r="B308" i="14"/>
  <c r="B329" i="14"/>
  <c r="V14" i="14"/>
  <c r="W14" i="14"/>
  <c r="X14" i="14"/>
  <c r="Y14" i="14"/>
  <c r="Z14" i="14"/>
  <c r="AA14" i="14"/>
  <c r="AB14" i="14"/>
  <c r="AC14" i="14"/>
  <c r="AD14" i="14"/>
  <c r="A15" i="14"/>
  <c r="B15" i="14"/>
  <c r="B36" i="14"/>
  <c r="B57" i="14"/>
  <c r="B78" i="14"/>
  <c r="B99" i="14"/>
  <c r="G15" i="14"/>
  <c r="B120" i="14"/>
  <c r="I15" i="14"/>
  <c r="B141" i="14"/>
  <c r="K15" i="14"/>
  <c r="B162" i="14"/>
  <c r="M15" i="14"/>
  <c r="B183" i="14"/>
  <c r="B204" i="14"/>
  <c r="B225" i="14"/>
  <c r="B246" i="14"/>
  <c r="B267" i="14"/>
  <c r="B288" i="14"/>
  <c r="B309" i="14"/>
  <c r="B330" i="14"/>
  <c r="V15" i="14"/>
  <c r="W15" i="14"/>
  <c r="X15" i="14"/>
  <c r="Y15" i="14"/>
  <c r="Z15" i="14"/>
  <c r="AA15" i="14"/>
  <c r="AB15" i="14"/>
  <c r="AC15" i="14"/>
  <c r="AD15" i="14"/>
  <c r="B16" i="14"/>
  <c r="B37" i="14"/>
  <c r="B58" i="14"/>
  <c r="B79" i="14"/>
  <c r="B100" i="14"/>
  <c r="G16" i="14"/>
  <c r="B121" i="14"/>
  <c r="I16" i="14"/>
  <c r="B142" i="14"/>
  <c r="K16" i="14"/>
  <c r="B163" i="14"/>
  <c r="M16" i="14"/>
  <c r="B184" i="14"/>
  <c r="B205" i="14"/>
  <c r="B226" i="14"/>
  <c r="B247" i="14"/>
  <c r="B268" i="14"/>
  <c r="B289" i="14"/>
  <c r="B310" i="14"/>
  <c r="B331" i="14"/>
  <c r="V16" i="14"/>
  <c r="W16" i="14"/>
  <c r="X16" i="14"/>
  <c r="Y16" i="14"/>
  <c r="Z16" i="14"/>
  <c r="AA16" i="14"/>
  <c r="AB16" i="14"/>
  <c r="AC16" i="14"/>
  <c r="AD16" i="14"/>
  <c r="B17" i="14"/>
  <c r="B38" i="14"/>
  <c r="B59" i="14"/>
  <c r="B80" i="14"/>
  <c r="B101" i="14"/>
  <c r="G17" i="14"/>
  <c r="B122" i="14"/>
  <c r="I17" i="14"/>
  <c r="B143" i="14"/>
  <c r="K17" i="14"/>
  <c r="B164" i="14"/>
  <c r="M17" i="14"/>
  <c r="B185" i="14"/>
  <c r="B206" i="14"/>
  <c r="B227" i="14"/>
  <c r="B248" i="14"/>
  <c r="B269" i="14"/>
  <c r="B290" i="14"/>
  <c r="B311" i="14"/>
  <c r="B332" i="14"/>
  <c r="V17" i="14"/>
  <c r="W17" i="14"/>
  <c r="X17" i="14"/>
  <c r="Y17" i="14"/>
  <c r="Z17" i="14"/>
  <c r="AA17" i="14"/>
  <c r="AB17" i="14"/>
  <c r="AC17" i="14"/>
  <c r="AD17" i="14"/>
  <c r="A18" i="14"/>
  <c r="B18" i="14"/>
  <c r="B39" i="14"/>
  <c r="B60" i="14"/>
  <c r="B81" i="14"/>
  <c r="B102" i="14"/>
  <c r="G18" i="14"/>
  <c r="B123" i="14"/>
  <c r="I18" i="14"/>
  <c r="B144" i="14"/>
  <c r="K18" i="14"/>
  <c r="B165" i="14"/>
  <c r="M18" i="14"/>
  <c r="B186" i="14"/>
  <c r="B207" i="14"/>
  <c r="B228" i="14"/>
  <c r="B249" i="14"/>
  <c r="B270" i="14"/>
  <c r="B291" i="14"/>
  <c r="B312" i="14"/>
  <c r="B333" i="14"/>
  <c r="V18" i="14"/>
  <c r="W18" i="14"/>
  <c r="X18" i="14"/>
  <c r="Y18" i="14"/>
  <c r="Z18" i="14"/>
  <c r="AA18" i="14"/>
  <c r="AB18" i="14"/>
  <c r="AC18" i="14"/>
  <c r="AD18" i="14"/>
  <c r="B19" i="14"/>
  <c r="B40" i="14"/>
  <c r="B61" i="14"/>
  <c r="B82" i="14"/>
  <c r="B103" i="14"/>
  <c r="G19" i="14"/>
  <c r="B124" i="14"/>
  <c r="I19" i="14"/>
  <c r="B145" i="14"/>
  <c r="K19" i="14"/>
  <c r="B166" i="14"/>
  <c r="M19" i="14"/>
  <c r="B187" i="14"/>
  <c r="B208" i="14"/>
  <c r="B229" i="14"/>
  <c r="B250" i="14"/>
  <c r="B271" i="14"/>
  <c r="B292" i="14"/>
  <c r="B313" i="14"/>
  <c r="B334" i="14"/>
  <c r="V19" i="14"/>
  <c r="W19" i="14"/>
  <c r="X19" i="14"/>
  <c r="Y19" i="14"/>
  <c r="Z19" i="14"/>
  <c r="AA19" i="14"/>
  <c r="AB19" i="14"/>
  <c r="AC19" i="14"/>
  <c r="AD19" i="14"/>
  <c r="B20" i="14"/>
  <c r="B41" i="14"/>
  <c r="B62" i="14"/>
  <c r="B83" i="14"/>
  <c r="B104" i="14"/>
  <c r="G20" i="14"/>
  <c r="B125" i="14"/>
  <c r="I20" i="14"/>
  <c r="B146" i="14"/>
  <c r="K20" i="14"/>
  <c r="B167" i="14"/>
  <c r="M20" i="14"/>
  <c r="B188" i="14"/>
  <c r="B209" i="14"/>
  <c r="B230" i="14"/>
  <c r="B251" i="14"/>
  <c r="B272" i="14"/>
  <c r="B293" i="14"/>
  <c r="B314" i="14"/>
  <c r="B335" i="14"/>
  <c r="V20" i="14"/>
  <c r="W20" i="14"/>
  <c r="X20" i="14"/>
  <c r="Y20" i="14"/>
  <c r="Z20" i="14"/>
  <c r="AA20" i="14"/>
  <c r="AB20" i="14"/>
  <c r="AC20" i="14"/>
  <c r="AD20" i="14"/>
  <c r="A21" i="14"/>
  <c r="B21" i="14"/>
  <c r="B42" i="14"/>
  <c r="B63" i="14"/>
  <c r="B84" i="14"/>
  <c r="B105" i="14"/>
  <c r="G21" i="14"/>
  <c r="B126" i="14"/>
  <c r="I21" i="14"/>
  <c r="B147" i="14"/>
  <c r="K21" i="14"/>
  <c r="B168" i="14"/>
  <c r="M21" i="14"/>
  <c r="B189" i="14"/>
  <c r="B210" i="14"/>
  <c r="B231" i="14"/>
  <c r="B252" i="14"/>
  <c r="B273" i="14"/>
  <c r="B294" i="14"/>
  <c r="B315" i="14"/>
  <c r="B336" i="14"/>
  <c r="V21" i="14"/>
  <c r="W21" i="14"/>
  <c r="X21" i="14"/>
  <c r="Y21" i="14"/>
  <c r="Z21" i="14"/>
  <c r="AA21" i="14"/>
  <c r="AB21" i="14"/>
  <c r="AC21" i="14"/>
  <c r="AD21" i="14"/>
  <c r="B22" i="14"/>
  <c r="B43" i="14"/>
  <c r="B64" i="14"/>
  <c r="B85" i="14"/>
  <c r="B106" i="14"/>
  <c r="G22" i="14"/>
  <c r="B127" i="14"/>
  <c r="I22" i="14"/>
  <c r="B148" i="14"/>
  <c r="K22" i="14"/>
  <c r="B169" i="14"/>
  <c r="M22" i="14"/>
  <c r="B190" i="14"/>
  <c r="B211" i="14"/>
  <c r="B232" i="14"/>
  <c r="B253" i="14"/>
  <c r="B274" i="14"/>
  <c r="B295" i="14"/>
  <c r="B316" i="14"/>
  <c r="B337" i="14"/>
  <c r="V22" i="14"/>
  <c r="W22" i="14"/>
  <c r="X22" i="14"/>
  <c r="Y22" i="14"/>
  <c r="Z22" i="14"/>
  <c r="AA22" i="14"/>
  <c r="AB22" i="14"/>
  <c r="AC22" i="14"/>
  <c r="AD22" i="14"/>
  <c r="B23" i="14"/>
  <c r="B44" i="14"/>
  <c r="B65" i="14"/>
  <c r="B86" i="14"/>
  <c r="B107" i="14"/>
  <c r="G23" i="14"/>
  <c r="B128" i="14"/>
  <c r="I23" i="14"/>
  <c r="B149" i="14"/>
  <c r="K23" i="14"/>
  <c r="B170" i="14"/>
  <c r="M23" i="14"/>
  <c r="B191" i="14"/>
  <c r="B212" i="14"/>
  <c r="B233" i="14"/>
  <c r="B254" i="14"/>
  <c r="B275" i="14"/>
  <c r="B296" i="14"/>
  <c r="B317" i="14"/>
  <c r="B338" i="14"/>
  <c r="V23" i="14"/>
  <c r="W23" i="14"/>
  <c r="X23" i="14"/>
  <c r="Y23" i="14"/>
  <c r="Z23" i="14"/>
  <c r="AA23" i="14"/>
  <c r="AB23" i="14"/>
  <c r="AC23" i="14"/>
  <c r="AD2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fr. Jean-Baptiste Blandino o.p.</author>
  </authors>
  <commentList>
    <comment ref="H21" authorId="0" shapeId="0" xr:uid="{00000000-0006-0000-0500-000001000000}">
      <text>
        <r>
          <rPr>
            <b/>
            <sz val="9"/>
            <color indexed="81"/>
            <rFont val="Verdana"/>
            <family val="2"/>
          </rPr>
          <t>fr. Jean-Baptiste Blandino o.p.:</t>
        </r>
        <r>
          <rPr>
            <sz val="9"/>
            <color indexed="81"/>
            <rFont val="Verdana"/>
            <family val="2"/>
          </rPr>
          <t xml:space="preserve">
1e vêpres du Dim III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fr. Jean-Baptiste Blandino o.p.</author>
  </authors>
  <commentList>
    <comment ref="H21" authorId="0" shapeId="0" xr:uid="{00000000-0006-0000-0600-000001000000}">
      <text>
        <r>
          <rPr>
            <b/>
            <sz val="9"/>
            <color indexed="81"/>
            <rFont val="Verdana"/>
            <family val="2"/>
          </rPr>
          <t>fr. Jean-Baptiste Blandino o.p.:</t>
        </r>
        <r>
          <rPr>
            <sz val="9"/>
            <color indexed="81"/>
            <rFont val="Verdana"/>
            <family val="2"/>
          </rPr>
          <t xml:space="preserve">
1e vêpres du Dim III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fr. Jean-Baptiste Blandino o.p.</author>
  </authors>
  <commentList>
    <comment ref="B11" authorId="0" shapeId="0" xr:uid="{A6F9CBD6-DA2B-5944-8E9A-6B8EE26B8665}">
      <text>
        <r>
          <rPr>
            <b/>
            <sz val="9"/>
            <color rgb="FF000000"/>
            <rFont val="Verdana"/>
            <family val="2"/>
          </rPr>
          <t>fr. Jean-Baptiste Blandino o.p.:</t>
        </r>
        <r>
          <rPr>
            <sz val="9"/>
            <color rgb="FF000000"/>
            <rFont val="Verdana"/>
            <family val="2"/>
          </rPr>
          <t xml:space="preserve">
</t>
        </r>
        <r>
          <rPr>
            <sz val="9"/>
            <color rgb="FF000000"/>
            <rFont val="Verdana"/>
            <family val="2"/>
          </rPr>
          <t>1e vêpres du Dim III</t>
        </r>
      </text>
    </comment>
    <comment ref="B26" authorId="0" shapeId="0" xr:uid="{3B532ECC-A318-3146-90F0-3720D632F143}">
      <text>
        <r>
          <rPr>
            <b/>
            <sz val="9"/>
            <color rgb="FF000000"/>
            <rFont val="Verdana"/>
            <family val="2"/>
          </rPr>
          <t>fr. Jean-Baptiste Blandino o.p.:</t>
        </r>
        <r>
          <rPr>
            <sz val="9"/>
            <color rgb="FF000000"/>
            <rFont val="Verdana"/>
            <family val="2"/>
          </rPr>
          <t xml:space="preserve">
</t>
        </r>
        <r>
          <rPr>
            <sz val="9"/>
            <color rgb="FF000000"/>
            <rFont val="Verdana"/>
            <family val="2"/>
          </rPr>
          <t>1e vêpres du Dim III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fr. Jean-Baptiste Blandino o.p.</author>
  </authors>
  <commentList>
    <comment ref="B126" authorId="0" shapeId="0" xr:uid="{00000000-0006-0000-0B00-000001000000}">
      <text>
        <r>
          <rPr>
            <b/>
            <sz val="9"/>
            <color indexed="81"/>
            <rFont val="Verdana"/>
            <family val="2"/>
          </rPr>
          <t>fr. Jean-Baptiste Blandino o.p.:</t>
        </r>
        <r>
          <rPr>
            <sz val="9"/>
            <color indexed="81"/>
            <rFont val="Verdana"/>
            <family val="2"/>
          </rPr>
          <t xml:space="preserve">
1e vêpres du Dim III</t>
        </r>
      </text>
    </comment>
  </commentList>
</comments>
</file>

<file path=xl/sharedStrings.xml><?xml version="1.0" encoding="utf-8"?>
<sst xmlns="http://schemas.openxmlformats.org/spreadsheetml/2006/main" count="1587" uniqueCount="451">
  <si>
    <t>9B</t>
  </si>
  <si>
    <t>Liste</t>
    <phoneticPr fontId="1" type="noConversion"/>
  </si>
  <si>
    <t>Psaumes</t>
    <phoneticPr fontId="1" type="noConversion"/>
  </si>
  <si>
    <t>112-116</t>
    <phoneticPr fontId="1" type="noConversion"/>
  </si>
  <si>
    <t>13-20</t>
    <phoneticPr fontId="1" type="noConversion"/>
  </si>
  <si>
    <t>12-19</t>
    <phoneticPr fontId="1" type="noConversion"/>
  </si>
  <si>
    <t>2-8</t>
    <phoneticPr fontId="1" type="noConversion"/>
  </si>
  <si>
    <t>9-13</t>
    <phoneticPr fontId="1" type="noConversion"/>
  </si>
  <si>
    <t>14-23</t>
    <phoneticPr fontId="1" type="noConversion"/>
  </si>
  <si>
    <t>1-9</t>
    <phoneticPr fontId="1" type="noConversion"/>
  </si>
  <si>
    <t>10-15</t>
    <phoneticPr fontId="1" type="noConversion"/>
  </si>
  <si>
    <t>16-26</t>
    <phoneticPr fontId="1" type="noConversion"/>
  </si>
  <si>
    <t>NT VII</t>
    <phoneticPr fontId="1" type="noConversion"/>
  </si>
  <si>
    <t>10-14</t>
    <phoneticPr fontId="1" type="noConversion"/>
  </si>
  <si>
    <t>15-21</t>
    <phoneticPr fontId="1" type="noConversion"/>
  </si>
  <si>
    <t>1-4</t>
    <phoneticPr fontId="1" type="noConversion"/>
  </si>
  <si>
    <t>5-24</t>
    <phoneticPr fontId="1" type="noConversion"/>
  </si>
  <si>
    <t>25-29</t>
    <phoneticPr fontId="1" type="noConversion"/>
  </si>
  <si>
    <t>1-6</t>
    <phoneticPr fontId="1" type="noConversion"/>
  </si>
  <si>
    <t>7-15</t>
    <phoneticPr fontId="1" type="noConversion"/>
  </si>
  <si>
    <t>16-23</t>
    <phoneticPr fontId="1" type="noConversion"/>
  </si>
  <si>
    <t>1-13</t>
    <phoneticPr fontId="1" type="noConversion"/>
  </si>
  <si>
    <t>14-24</t>
    <phoneticPr fontId="1" type="noConversion"/>
  </si>
  <si>
    <t>2-11</t>
    <phoneticPr fontId="1" type="noConversion"/>
  </si>
  <si>
    <t>12-24</t>
    <phoneticPr fontId="1" type="noConversion"/>
  </si>
  <si>
    <t>25-36</t>
    <phoneticPr fontId="1" type="noConversion"/>
  </si>
  <si>
    <t>10-23</t>
    <phoneticPr fontId="1" type="noConversion"/>
  </si>
  <si>
    <t>2-19</t>
    <phoneticPr fontId="1" type="noConversion"/>
  </si>
  <si>
    <t>20-30</t>
    <phoneticPr fontId="1" type="noConversion"/>
  </si>
  <si>
    <t>31-38</t>
    <phoneticPr fontId="1" type="noConversion"/>
  </si>
  <si>
    <t>(20-22)+39-46</t>
    <phoneticPr fontId="1" type="noConversion"/>
  </si>
  <si>
    <t>47-53</t>
    <phoneticPr fontId="1" type="noConversion"/>
  </si>
  <si>
    <t>1-10</t>
    <phoneticPr fontId="1" type="noConversion"/>
  </si>
  <si>
    <t>14-29</t>
    <phoneticPr fontId="1" type="noConversion"/>
  </si>
  <si>
    <t>30-37</t>
    <phoneticPr fontId="1" type="noConversion"/>
  </si>
  <si>
    <t>12-22</t>
    <phoneticPr fontId="1" type="noConversion"/>
  </si>
  <si>
    <t>23-32</t>
    <phoneticPr fontId="1" type="noConversion"/>
  </si>
  <si>
    <t>13-21</t>
    <phoneticPr fontId="1" type="noConversion"/>
  </si>
  <si>
    <t>Laudes</t>
    <phoneticPr fontId="1" type="noConversion"/>
  </si>
  <si>
    <t>Vêpres</t>
    <phoneticPr fontId="1" type="noConversion"/>
  </si>
  <si>
    <t>Milieu du Jour</t>
    <phoneticPr fontId="1" type="noConversion"/>
  </si>
  <si>
    <t>Complies</t>
    <phoneticPr fontId="1" type="noConversion"/>
  </si>
  <si>
    <t>II</t>
    <phoneticPr fontId="1" type="noConversion"/>
  </si>
  <si>
    <t>AT 15</t>
    <phoneticPr fontId="1" type="noConversion"/>
  </si>
  <si>
    <t>AT 17</t>
    <phoneticPr fontId="1" type="noConversion"/>
  </si>
  <si>
    <t>AT 27</t>
    <phoneticPr fontId="1" type="noConversion"/>
  </si>
  <si>
    <t>112-116</t>
    <phoneticPr fontId="1" type="noConversion"/>
  </si>
  <si>
    <t>AT 25</t>
    <phoneticPr fontId="1" type="noConversion"/>
  </si>
  <si>
    <t>AT 21</t>
    <phoneticPr fontId="1" type="noConversion"/>
  </si>
  <si>
    <t>AT 47</t>
    <phoneticPr fontId="1" type="noConversion"/>
  </si>
  <si>
    <t>AT 3</t>
    <phoneticPr fontId="1" type="noConversion"/>
  </si>
  <si>
    <t>AT 23</t>
    <phoneticPr fontId="1" type="noConversion"/>
  </si>
  <si>
    <t>AT 38</t>
    <phoneticPr fontId="1" type="noConversion"/>
  </si>
  <si>
    <t>118-VII</t>
    <phoneticPr fontId="1" type="noConversion"/>
  </si>
  <si>
    <t>118-VIII</t>
    <phoneticPr fontId="1" type="noConversion"/>
  </si>
  <si>
    <t>118-IX</t>
    <phoneticPr fontId="1" type="noConversion"/>
  </si>
  <si>
    <t>118-X</t>
    <phoneticPr fontId="1" type="noConversion"/>
  </si>
  <si>
    <t>118-XI</t>
    <phoneticPr fontId="1" type="noConversion"/>
  </si>
  <si>
    <t>118-XII</t>
    <phoneticPr fontId="1" type="noConversion"/>
  </si>
  <si>
    <t>118-XIII</t>
    <phoneticPr fontId="1" type="noConversion"/>
  </si>
  <si>
    <t>Vigiles</t>
    <phoneticPr fontId="1" type="noConversion"/>
  </si>
  <si>
    <t>I</t>
  </si>
  <si>
    <t>II</t>
  </si>
  <si>
    <t>III</t>
  </si>
  <si>
    <t>IV</t>
  </si>
  <si>
    <t>Milieu du Jour</t>
    <phoneticPr fontId="1" type="noConversion"/>
  </si>
  <si>
    <t>Complies</t>
    <phoneticPr fontId="1" type="noConversion"/>
  </si>
  <si>
    <t>118-XIV</t>
    <phoneticPr fontId="1" type="noConversion"/>
  </si>
  <si>
    <t>118-XV</t>
    <phoneticPr fontId="1" type="noConversion"/>
  </si>
  <si>
    <t>113 B</t>
    <phoneticPr fontId="1" type="noConversion"/>
  </si>
  <si>
    <t>21-28</t>
    <phoneticPr fontId="1" type="noConversion"/>
  </si>
  <si>
    <t>2-12</t>
    <phoneticPr fontId="1" type="noConversion"/>
  </si>
  <si>
    <t>13-23</t>
    <phoneticPr fontId="1" type="noConversion"/>
  </si>
  <si>
    <t>24-29</t>
    <phoneticPr fontId="1" type="noConversion"/>
  </si>
  <si>
    <t>1-7</t>
    <phoneticPr fontId="1" type="noConversion"/>
  </si>
  <si>
    <t>8-16</t>
    <phoneticPr fontId="1" type="noConversion"/>
  </si>
  <si>
    <t>17-22</t>
    <phoneticPr fontId="1" type="noConversion"/>
  </si>
  <si>
    <t>NT XIII</t>
    <phoneticPr fontId="1" type="noConversion"/>
  </si>
  <si>
    <t>113A</t>
  </si>
  <si>
    <t>113A</t>
    <phoneticPr fontId="1" type="noConversion"/>
  </si>
  <si>
    <t>113B</t>
  </si>
  <si>
    <t>113B</t>
    <phoneticPr fontId="1" type="noConversion"/>
  </si>
  <si>
    <t>18B</t>
  </si>
  <si>
    <t>118 - II</t>
  </si>
  <si>
    <t>118 - III</t>
  </si>
  <si>
    <t>118 - IV</t>
  </si>
  <si>
    <t>118 - V</t>
  </si>
  <si>
    <t>118 - VI</t>
  </si>
  <si>
    <t>118 - VII</t>
  </si>
  <si>
    <t>118 - VIII</t>
  </si>
  <si>
    <t>118 - IX</t>
  </si>
  <si>
    <t>118 - X</t>
  </si>
  <si>
    <t>118 - XI</t>
  </si>
  <si>
    <t>118 - XII</t>
  </si>
  <si>
    <t>118 - XIII</t>
  </si>
  <si>
    <t>118 - XIV</t>
  </si>
  <si>
    <t>118 - XV</t>
  </si>
  <si>
    <t>118 - XVII</t>
  </si>
  <si>
    <t>118 - XVIII</t>
  </si>
  <si>
    <t>118 - XIX</t>
  </si>
  <si>
    <t>118 - XX</t>
  </si>
  <si>
    <t>118 - XXI</t>
  </si>
  <si>
    <t>118 - XXII</t>
  </si>
  <si>
    <t>4</t>
  </si>
  <si>
    <t>AT 4</t>
  </si>
  <si>
    <t>AT 6</t>
  </si>
  <si>
    <t>18A</t>
  </si>
  <si>
    <t>AT 8</t>
  </si>
  <si>
    <t>AT 44</t>
  </si>
  <si>
    <t>AT 30</t>
  </si>
  <si>
    <t>AT 1</t>
  </si>
  <si>
    <t>112_116</t>
  </si>
  <si>
    <t>112-116</t>
  </si>
  <si>
    <t>9A</t>
  </si>
  <si>
    <t>Tierce</t>
    <phoneticPr fontId="1" type="noConversion"/>
  </si>
  <si>
    <t>Sexte</t>
    <phoneticPr fontId="1" type="noConversion"/>
  </si>
  <si>
    <t>None</t>
    <phoneticPr fontId="1" type="noConversion"/>
  </si>
  <si>
    <t>Complies</t>
    <phoneticPr fontId="1" type="noConversion"/>
  </si>
  <si>
    <t>Dimanche</t>
    <phoneticPr fontId="1" type="noConversion"/>
  </si>
  <si>
    <t>Lundi</t>
    <phoneticPr fontId="1" type="noConversion"/>
  </si>
  <si>
    <t>Mardi</t>
    <phoneticPr fontId="1" type="noConversion"/>
  </si>
  <si>
    <t>Mercredi</t>
    <phoneticPr fontId="1" type="noConversion"/>
  </si>
  <si>
    <t>Jeudi</t>
    <phoneticPr fontId="1" type="noConversion"/>
  </si>
  <si>
    <t>Vendredi</t>
    <phoneticPr fontId="1" type="noConversion"/>
  </si>
  <si>
    <t>Samedi</t>
    <phoneticPr fontId="1" type="noConversion"/>
  </si>
  <si>
    <t>118 - II</t>
    <phoneticPr fontId="1" type="noConversion"/>
  </si>
  <si>
    <t>118 - III</t>
    <phoneticPr fontId="1" type="noConversion"/>
  </si>
  <si>
    <t>118 - IV</t>
    <phoneticPr fontId="1" type="noConversion"/>
  </si>
  <si>
    <t>118 - V</t>
    <phoneticPr fontId="1" type="noConversion"/>
  </si>
  <si>
    <t>118 - I</t>
  </si>
  <si>
    <t>118 - VI</t>
    <phoneticPr fontId="1" type="noConversion"/>
  </si>
  <si>
    <t>118 - VII</t>
    <phoneticPr fontId="1" type="noConversion"/>
  </si>
  <si>
    <t>118 - VIII</t>
    <phoneticPr fontId="1" type="noConversion"/>
  </si>
  <si>
    <t>118 - IX</t>
    <phoneticPr fontId="1" type="noConversion"/>
  </si>
  <si>
    <t>118 - X</t>
    <phoneticPr fontId="1" type="noConversion"/>
  </si>
  <si>
    <t>118 - XI</t>
    <phoneticPr fontId="1" type="noConversion"/>
  </si>
  <si>
    <t>118 - XII</t>
    <phoneticPr fontId="1" type="noConversion"/>
  </si>
  <si>
    <t>118 - XIII</t>
    <phoneticPr fontId="1" type="noConversion"/>
  </si>
  <si>
    <t>118 - XIV</t>
    <phoneticPr fontId="1" type="noConversion"/>
  </si>
  <si>
    <t>118 - XV</t>
    <phoneticPr fontId="1" type="noConversion"/>
  </si>
  <si>
    <t>118 - XVIII</t>
    <phoneticPr fontId="1" type="noConversion"/>
  </si>
  <si>
    <t>118 - XIX</t>
    <phoneticPr fontId="1" type="noConversion"/>
  </si>
  <si>
    <t>118 - XX</t>
    <phoneticPr fontId="1" type="noConversion"/>
  </si>
  <si>
    <t>118 - XXI</t>
    <phoneticPr fontId="1" type="noConversion"/>
  </si>
  <si>
    <t>118 - XXII</t>
    <phoneticPr fontId="1" type="noConversion"/>
  </si>
  <si>
    <t>118 - XVII</t>
    <phoneticPr fontId="1" type="noConversion"/>
  </si>
  <si>
    <t>2-13</t>
    <phoneticPr fontId="1" type="noConversion"/>
  </si>
  <si>
    <t>14-21</t>
    <phoneticPr fontId="1" type="noConversion"/>
  </si>
  <si>
    <t>2-10</t>
    <phoneticPr fontId="1" type="noConversion"/>
  </si>
  <si>
    <t>11-18</t>
    <phoneticPr fontId="1" type="noConversion"/>
  </si>
  <si>
    <t>1-11</t>
    <phoneticPr fontId="1" type="noConversion"/>
  </si>
  <si>
    <t>12-18</t>
    <phoneticPr fontId="1" type="noConversion"/>
  </si>
  <si>
    <t>2-11</t>
    <phoneticPr fontId="1" type="noConversion"/>
  </si>
  <si>
    <t>12-20</t>
    <phoneticPr fontId="1" type="noConversion"/>
  </si>
  <si>
    <t>21-30</t>
    <phoneticPr fontId="1" type="noConversion"/>
  </si>
  <si>
    <t>1-7</t>
    <phoneticPr fontId="1" type="noConversion"/>
  </si>
  <si>
    <t>8-15</t>
    <phoneticPr fontId="1" type="noConversion"/>
  </si>
  <si>
    <t>31-35</t>
    <phoneticPr fontId="1" type="noConversion"/>
  </si>
  <si>
    <t>10-26</t>
    <phoneticPr fontId="1" type="noConversion"/>
  </si>
  <si>
    <t>1-10</t>
    <phoneticPr fontId="1" type="noConversion"/>
  </si>
  <si>
    <t>11-24</t>
    <phoneticPr fontId="1" type="noConversion"/>
  </si>
  <si>
    <t>1-8</t>
    <phoneticPr fontId="1" type="noConversion"/>
  </si>
  <si>
    <t>54, 16-24</t>
    <phoneticPr fontId="1" type="noConversion"/>
  </si>
  <si>
    <t>58, 2-11</t>
    <phoneticPr fontId="1" type="noConversion"/>
  </si>
  <si>
    <t>58, 12-18</t>
    <phoneticPr fontId="1" type="noConversion"/>
  </si>
  <si>
    <t>72, 1-12</t>
    <phoneticPr fontId="1" type="noConversion"/>
  </si>
  <si>
    <t>72, 13-28</t>
    <phoneticPr fontId="1" type="noConversion"/>
  </si>
  <si>
    <t>73, 1-11</t>
    <phoneticPr fontId="1" type="noConversion"/>
  </si>
  <si>
    <t>73, 12-23</t>
    <phoneticPr fontId="1" type="noConversion"/>
  </si>
  <si>
    <t>87, 2-10</t>
    <phoneticPr fontId="1" type="noConversion"/>
  </si>
  <si>
    <t>87, 11-19</t>
    <phoneticPr fontId="1" type="noConversion"/>
  </si>
  <si>
    <t>93, 1-11</t>
    <phoneticPr fontId="1" type="noConversion"/>
  </si>
  <si>
    <t>93, 12-21</t>
    <phoneticPr fontId="1" type="noConversion"/>
  </si>
  <si>
    <t>77 A</t>
    <phoneticPr fontId="1" type="noConversion"/>
  </si>
  <si>
    <t>77 B</t>
    <phoneticPr fontId="1" type="noConversion"/>
  </si>
  <si>
    <t>Mercredi des Cendres</t>
    <phoneticPr fontId="1" type="noConversion"/>
  </si>
  <si>
    <t>Vigiles</t>
    <phoneticPr fontId="1" type="noConversion"/>
  </si>
  <si>
    <t>Laudes</t>
    <phoneticPr fontId="1" type="noConversion"/>
  </si>
  <si>
    <t>AT 42</t>
    <phoneticPr fontId="1" type="noConversion"/>
  </si>
  <si>
    <t>Millieu du Jour</t>
    <phoneticPr fontId="1" type="noConversion"/>
  </si>
  <si>
    <t>Vêpres</t>
    <phoneticPr fontId="1" type="noConversion"/>
  </si>
  <si>
    <t>NT X</t>
    <phoneticPr fontId="1" type="noConversion"/>
  </si>
  <si>
    <t>101, 2-12</t>
    <phoneticPr fontId="1" type="noConversion"/>
  </si>
  <si>
    <t>AT 20</t>
    <phoneticPr fontId="1" type="noConversion"/>
  </si>
  <si>
    <t>AT 26</t>
    <phoneticPr fontId="1" type="noConversion"/>
  </si>
  <si>
    <t>AT 41</t>
    <phoneticPr fontId="1" type="noConversion"/>
  </si>
  <si>
    <t>NT XII</t>
    <phoneticPr fontId="1" type="noConversion"/>
  </si>
  <si>
    <t>AT 30</t>
    <phoneticPr fontId="1" type="noConversion"/>
  </si>
  <si>
    <t>AT 7</t>
    <phoneticPr fontId="1" type="noConversion"/>
  </si>
  <si>
    <t>NT XIII</t>
    <phoneticPr fontId="1" type="noConversion"/>
  </si>
  <si>
    <t>AT 1</t>
    <phoneticPr fontId="1" type="noConversion"/>
  </si>
  <si>
    <t>AT 2</t>
    <phoneticPr fontId="1" type="noConversion"/>
  </si>
  <si>
    <t>AT 12</t>
    <phoneticPr fontId="1" type="noConversion"/>
  </si>
  <si>
    <t>AT 46</t>
    <phoneticPr fontId="1" type="noConversion"/>
  </si>
  <si>
    <t>NT VII</t>
    <phoneticPr fontId="1" type="noConversion"/>
  </si>
  <si>
    <t>9A</t>
    <phoneticPr fontId="1" type="noConversion"/>
  </si>
  <si>
    <t>9A</t>
    <phoneticPr fontId="1" type="noConversion"/>
  </si>
  <si>
    <t>9B</t>
    <phoneticPr fontId="1" type="noConversion"/>
  </si>
  <si>
    <t>REPARTITION FR. JEAN-BAPTISTE</t>
    <phoneticPr fontId="1" type="noConversion"/>
  </si>
  <si>
    <t>1-13a</t>
  </si>
  <si>
    <t>1-13a</t>
    <phoneticPr fontId="1" type="noConversion"/>
  </si>
  <si>
    <t>13b-21</t>
    <phoneticPr fontId="1" type="noConversion"/>
  </si>
  <si>
    <t>9-15</t>
    <phoneticPr fontId="1" type="noConversion"/>
  </si>
  <si>
    <t>13b-21</t>
    <phoneticPr fontId="1" type="noConversion"/>
  </si>
  <si>
    <t>1-6</t>
    <phoneticPr fontId="1" type="noConversion"/>
  </si>
  <si>
    <t>7-14</t>
    <phoneticPr fontId="1" type="noConversion"/>
  </si>
  <si>
    <t>1-12</t>
    <phoneticPr fontId="1" type="noConversion"/>
  </si>
  <si>
    <t>118 - III</t>
    <phoneticPr fontId="1" type="noConversion"/>
  </si>
  <si>
    <t>118 - IV</t>
    <phoneticPr fontId="1" type="noConversion"/>
  </si>
  <si>
    <t>118 - V</t>
    <phoneticPr fontId="1" type="noConversion"/>
  </si>
  <si>
    <t>18B</t>
    <phoneticPr fontId="1" type="noConversion"/>
  </si>
  <si>
    <t>118 - VI</t>
    <phoneticPr fontId="1" type="noConversion"/>
  </si>
  <si>
    <t>118 - VII</t>
    <phoneticPr fontId="1" type="noConversion"/>
  </si>
  <si>
    <t>118 - VIII</t>
    <phoneticPr fontId="1" type="noConversion"/>
  </si>
  <si>
    <t>118 -IX</t>
    <phoneticPr fontId="1" type="noConversion"/>
  </si>
  <si>
    <t>118 - X</t>
    <phoneticPr fontId="1" type="noConversion"/>
  </si>
  <si>
    <t>118 - XI</t>
    <phoneticPr fontId="1" type="noConversion"/>
  </si>
  <si>
    <t>118 - XII</t>
    <phoneticPr fontId="1" type="noConversion"/>
  </si>
  <si>
    <t>118 - XIII</t>
    <phoneticPr fontId="1" type="noConversion"/>
  </si>
  <si>
    <t>118 - XIV</t>
    <phoneticPr fontId="1" type="noConversion"/>
  </si>
  <si>
    <t>118 - XV</t>
    <phoneticPr fontId="1" type="noConversion"/>
  </si>
  <si>
    <t>118 - XVI</t>
    <phoneticPr fontId="1" type="noConversion"/>
  </si>
  <si>
    <t>118 - XVII</t>
    <phoneticPr fontId="1" type="noConversion"/>
  </si>
  <si>
    <t>118 - XVIII</t>
    <phoneticPr fontId="1" type="noConversion"/>
  </si>
  <si>
    <t>118 - XIX</t>
    <phoneticPr fontId="1" type="noConversion"/>
  </si>
  <si>
    <t>118 - I</t>
    <phoneticPr fontId="1" type="noConversion"/>
  </si>
  <si>
    <t>1-12</t>
    <phoneticPr fontId="1" type="noConversion"/>
  </si>
  <si>
    <t>13-23</t>
    <phoneticPr fontId="1" type="noConversion"/>
  </si>
  <si>
    <t>24-35</t>
    <phoneticPr fontId="1" type="noConversion"/>
  </si>
  <si>
    <t>2-7</t>
    <phoneticPr fontId="1" type="noConversion"/>
  </si>
  <si>
    <t>8-13</t>
    <phoneticPr fontId="1" type="noConversion"/>
  </si>
  <si>
    <t>113B</t>
    <phoneticPr fontId="1" type="noConversion"/>
  </si>
  <si>
    <t>14-21</t>
    <phoneticPr fontId="1" type="noConversion"/>
  </si>
  <si>
    <t>8-14</t>
    <phoneticPr fontId="1" type="noConversion"/>
  </si>
  <si>
    <t>17-24</t>
    <phoneticPr fontId="1" type="noConversion"/>
  </si>
  <si>
    <t>2-16</t>
    <phoneticPr fontId="1" type="noConversion"/>
  </si>
  <si>
    <t>10-17</t>
    <phoneticPr fontId="1" type="noConversion"/>
  </si>
  <si>
    <t>NT XIII</t>
    <phoneticPr fontId="1" type="noConversion"/>
  </si>
  <si>
    <t>Milieu du Jour</t>
    <phoneticPr fontId="1" type="noConversion"/>
  </si>
  <si>
    <t>Office des Lectures</t>
    <phoneticPr fontId="1" type="noConversion"/>
  </si>
  <si>
    <t>I</t>
    <phoneticPr fontId="1" type="noConversion"/>
  </si>
  <si>
    <t>Matines 1</t>
    <phoneticPr fontId="1" type="noConversion"/>
  </si>
  <si>
    <t>Matines 2</t>
    <phoneticPr fontId="1" type="noConversion"/>
  </si>
  <si>
    <t>Matines 3</t>
    <phoneticPr fontId="1" type="noConversion"/>
  </si>
  <si>
    <t>Prime</t>
    <phoneticPr fontId="1" type="noConversion"/>
  </si>
  <si>
    <t>18 B</t>
    <phoneticPr fontId="1" type="noConversion"/>
  </si>
  <si>
    <t>118-I</t>
    <phoneticPr fontId="1" type="noConversion"/>
  </si>
  <si>
    <t>188-II</t>
    <phoneticPr fontId="1" type="noConversion"/>
  </si>
  <si>
    <t>118-III</t>
    <phoneticPr fontId="1" type="noConversion"/>
  </si>
  <si>
    <t>118-IV</t>
    <phoneticPr fontId="1" type="noConversion"/>
  </si>
  <si>
    <t>118-V</t>
    <phoneticPr fontId="1" type="noConversion"/>
  </si>
  <si>
    <t>118-VI</t>
    <phoneticPr fontId="1" type="noConversion"/>
  </si>
  <si>
    <t>Mardi</t>
    <phoneticPr fontId="1" type="noConversion"/>
  </si>
  <si>
    <t>Mercredi</t>
    <phoneticPr fontId="1" type="noConversion"/>
  </si>
  <si>
    <t>Jeudi</t>
    <phoneticPr fontId="1" type="noConversion"/>
  </si>
  <si>
    <t>Vendredi</t>
    <phoneticPr fontId="1" type="noConversion"/>
  </si>
  <si>
    <t>Samedi</t>
    <phoneticPr fontId="1" type="noConversion"/>
  </si>
  <si>
    <t>AT 48</t>
    <phoneticPr fontId="1" type="noConversion"/>
  </si>
  <si>
    <t>NT VII</t>
    <phoneticPr fontId="1" type="noConversion"/>
  </si>
  <si>
    <t>NT XIV</t>
    <phoneticPr fontId="1" type="noConversion"/>
  </si>
  <si>
    <t>NT VI</t>
    <phoneticPr fontId="1" type="noConversion"/>
  </si>
  <si>
    <t>NT XI</t>
    <phoneticPr fontId="1" type="noConversion"/>
  </si>
  <si>
    <t>NT VIII</t>
    <phoneticPr fontId="1" type="noConversion"/>
  </si>
  <si>
    <t>NT XII</t>
    <phoneticPr fontId="1" type="noConversion"/>
  </si>
  <si>
    <t>10-19</t>
    <phoneticPr fontId="1" type="noConversion"/>
  </si>
  <si>
    <t>20-25</t>
    <phoneticPr fontId="1" type="noConversion"/>
  </si>
  <si>
    <t>10-18</t>
    <phoneticPr fontId="1" type="noConversion"/>
  </si>
  <si>
    <t>2-10</t>
    <phoneticPr fontId="1" type="noConversion"/>
  </si>
  <si>
    <t>11-18</t>
    <phoneticPr fontId="1" type="noConversion"/>
  </si>
  <si>
    <t>1-11</t>
    <phoneticPr fontId="1" type="noConversion"/>
  </si>
  <si>
    <t>12-29</t>
    <phoneticPr fontId="1" type="noConversion"/>
  </si>
  <si>
    <t>30-40</t>
    <phoneticPr fontId="1" type="noConversion"/>
  </si>
  <si>
    <t>2-13</t>
    <phoneticPr fontId="1" type="noConversion"/>
  </si>
  <si>
    <t>II</t>
    <phoneticPr fontId="1" type="noConversion"/>
  </si>
  <si>
    <t>III</t>
    <phoneticPr fontId="1" type="noConversion"/>
  </si>
  <si>
    <t>IV</t>
    <phoneticPr fontId="1" type="noConversion"/>
  </si>
  <si>
    <t>V</t>
    <phoneticPr fontId="1" type="noConversion"/>
  </si>
  <si>
    <t>AT 5</t>
    <phoneticPr fontId="1" type="noConversion"/>
  </si>
  <si>
    <t>18-27</t>
    <phoneticPr fontId="1" type="noConversion"/>
  </si>
  <si>
    <t>2-10</t>
    <phoneticPr fontId="1" type="noConversion"/>
  </si>
  <si>
    <t>11-16</t>
    <phoneticPr fontId="1" type="noConversion"/>
  </si>
  <si>
    <t>17-24</t>
    <phoneticPr fontId="1" type="noConversion"/>
  </si>
  <si>
    <t>7-15</t>
    <phoneticPr fontId="1" type="noConversion"/>
  </si>
  <si>
    <t>16-23</t>
    <phoneticPr fontId="1" type="noConversion"/>
  </si>
  <si>
    <t>2-13</t>
    <phoneticPr fontId="1" type="noConversion"/>
  </si>
  <si>
    <t>14-21</t>
    <phoneticPr fontId="1" type="noConversion"/>
  </si>
  <si>
    <t>9A</t>
    <phoneticPr fontId="1" type="noConversion"/>
  </si>
  <si>
    <t>9B</t>
    <phoneticPr fontId="1" type="noConversion"/>
  </si>
  <si>
    <t>1-11</t>
    <phoneticPr fontId="1" type="noConversion"/>
  </si>
  <si>
    <t>12-18</t>
    <phoneticPr fontId="1" type="noConversion"/>
  </si>
  <si>
    <t>2-11</t>
    <phoneticPr fontId="1" type="noConversion"/>
  </si>
  <si>
    <t>12-20</t>
    <phoneticPr fontId="1" type="noConversion"/>
  </si>
  <si>
    <t>21-30</t>
    <phoneticPr fontId="1" type="noConversion"/>
  </si>
  <si>
    <t>31-35</t>
    <phoneticPr fontId="1" type="noConversion"/>
  </si>
  <si>
    <t>36-46</t>
    <phoneticPr fontId="1" type="noConversion"/>
  </si>
  <si>
    <t>47-51</t>
    <phoneticPr fontId="1" type="noConversion"/>
  </si>
  <si>
    <t>17-28</t>
    <phoneticPr fontId="1" type="noConversion"/>
  </si>
  <si>
    <t>11-18</t>
    <phoneticPr fontId="1" type="noConversion"/>
  </si>
  <si>
    <t>36-46</t>
    <phoneticPr fontId="1" type="noConversion"/>
  </si>
  <si>
    <t>47-51</t>
    <phoneticPr fontId="1" type="noConversion"/>
  </si>
  <si>
    <t>8-14</t>
    <phoneticPr fontId="1" type="noConversion"/>
  </si>
  <si>
    <t>1-10</t>
    <phoneticPr fontId="1" type="noConversion"/>
  </si>
  <si>
    <t>11-16</t>
    <phoneticPr fontId="1" type="noConversion"/>
  </si>
  <si>
    <t>17-28</t>
    <phoneticPr fontId="1" type="noConversion"/>
  </si>
  <si>
    <t>AT 42</t>
    <phoneticPr fontId="1" type="noConversion"/>
  </si>
  <si>
    <t>AT 45</t>
    <phoneticPr fontId="1" type="noConversion"/>
  </si>
  <si>
    <t>AT 54</t>
    <phoneticPr fontId="1" type="noConversion"/>
  </si>
  <si>
    <t>AT 56</t>
    <phoneticPr fontId="1" type="noConversion"/>
  </si>
  <si>
    <t>AT 57</t>
    <phoneticPr fontId="1" type="noConversion"/>
  </si>
  <si>
    <t>AT 18</t>
    <phoneticPr fontId="1" type="noConversion"/>
  </si>
  <si>
    <t>2-10</t>
    <phoneticPr fontId="1" type="noConversion"/>
  </si>
  <si>
    <t>10b-19</t>
    <phoneticPr fontId="1" type="noConversion"/>
  </si>
  <si>
    <t>2-10a</t>
    <phoneticPr fontId="1" type="noConversion"/>
  </si>
  <si>
    <t>1-11</t>
    <phoneticPr fontId="1" type="noConversion"/>
  </si>
  <si>
    <t>12-23</t>
    <phoneticPr fontId="1" type="noConversion"/>
  </si>
  <si>
    <t>11-18</t>
    <phoneticPr fontId="1" type="noConversion"/>
  </si>
  <si>
    <t>REPARTITION ROMAINE</t>
    <phoneticPr fontId="1" type="noConversion"/>
  </si>
  <si>
    <t>REPARTITION DOMINIQUE-BENOÎT</t>
    <phoneticPr fontId="1" type="noConversion"/>
  </si>
  <si>
    <t>18B</t>
    <phoneticPr fontId="1" type="noConversion"/>
  </si>
  <si>
    <t>VI</t>
    <phoneticPr fontId="1" type="noConversion"/>
  </si>
  <si>
    <t>VII</t>
    <phoneticPr fontId="1" type="noConversion"/>
  </si>
  <si>
    <t>VIII</t>
    <phoneticPr fontId="1" type="noConversion"/>
  </si>
  <si>
    <t>V</t>
    <phoneticPr fontId="1" type="noConversion"/>
  </si>
  <si>
    <t>118 XIX</t>
    <phoneticPr fontId="1" type="noConversion"/>
  </si>
  <si>
    <t>AT 48</t>
  </si>
  <si>
    <t>AT 15</t>
  </si>
  <si>
    <t>AT 25</t>
  </si>
  <si>
    <t>AT 3</t>
  </si>
  <si>
    <t>AT 20</t>
  </si>
  <si>
    <t>AT 57</t>
  </si>
  <si>
    <t>AT 2</t>
  </si>
  <si>
    <t>18A</t>
    <phoneticPr fontId="1" type="noConversion"/>
  </si>
  <si>
    <t>AT 49</t>
  </si>
  <si>
    <t>AT 17</t>
  </si>
  <si>
    <t>AT 27</t>
  </si>
  <si>
    <t>AT 21</t>
  </si>
  <si>
    <t>AT 47</t>
  </si>
  <si>
    <t>AT 23</t>
  </si>
  <si>
    <t>AT 38</t>
  </si>
  <si>
    <t>118-XVI</t>
    <phoneticPr fontId="1" type="noConversion"/>
  </si>
  <si>
    <t>118-XVII</t>
    <phoneticPr fontId="1" type="noConversion"/>
  </si>
  <si>
    <t>118-XVIII</t>
    <phoneticPr fontId="1" type="noConversion"/>
  </si>
  <si>
    <t>118-XIX</t>
    <phoneticPr fontId="1" type="noConversion"/>
  </si>
  <si>
    <t>118-XX</t>
    <phoneticPr fontId="1" type="noConversion"/>
  </si>
  <si>
    <t>118-XXI</t>
    <phoneticPr fontId="1" type="noConversion"/>
  </si>
  <si>
    <t>118-XXII</t>
    <phoneticPr fontId="1" type="noConversion"/>
  </si>
  <si>
    <t>Samedi</t>
    <phoneticPr fontId="1" type="noConversion"/>
  </si>
  <si>
    <t>NT IV</t>
    <phoneticPr fontId="1" type="noConversion"/>
  </si>
  <si>
    <t>118 - XX</t>
    <phoneticPr fontId="1" type="noConversion"/>
  </si>
  <si>
    <t>118 - XXI</t>
    <phoneticPr fontId="1" type="noConversion"/>
  </si>
  <si>
    <t>118 - XXII</t>
    <phoneticPr fontId="1" type="noConversion"/>
  </si>
  <si>
    <t>AT 26</t>
  </si>
  <si>
    <t>AT 41</t>
  </si>
  <si>
    <t>AT 42</t>
  </si>
  <si>
    <t>AT 7</t>
  </si>
  <si>
    <t>118, XIX</t>
  </si>
  <si>
    <t>AT 12</t>
  </si>
  <si>
    <t>AT 46</t>
  </si>
  <si>
    <t>Complies</t>
  </si>
  <si>
    <t>Dimanche</t>
  </si>
  <si>
    <t>NT VII</t>
  </si>
  <si>
    <t>NT X</t>
    <phoneticPr fontId="1" type="noConversion"/>
  </si>
  <si>
    <t>NT V</t>
    <phoneticPr fontId="1" type="noConversion"/>
  </si>
  <si>
    <t>NT IV</t>
    <phoneticPr fontId="1" type="noConversion"/>
  </si>
  <si>
    <t>39, 1-9</t>
    <phoneticPr fontId="1" type="noConversion"/>
  </si>
  <si>
    <t>39, 10-18</t>
    <phoneticPr fontId="1" type="noConversion"/>
  </si>
  <si>
    <t>70, 1-13</t>
    <phoneticPr fontId="1" type="noConversion"/>
  </si>
  <si>
    <t>70, 14-24</t>
    <phoneticPr fontId="1" type="noConversion"/>
  </si>
  <si>
    <t>43, 2-17</t>
    <phoneticPr fontId="1" type="noConversion"/>
  </si>
  <si>
    <t>43, 18-27</t>
    <phoneticPr fontId="1" type="noConversion"/>
  </si>
  <si>
    <t>NT XIV</t>
  </si>
  <si>
    <t>Lundi</t>
  </si>
  <si>
    <t>NT VI</t>
  </si>
  <si>
    <t>Mardi</t>
  </si>
  <si>
    <t>NT XI</t>
  </si>
  <si>
    <t>Mercredi</t>
  </si>
  <si>
    <t>NT VIII</t>
  </si>
  <si>
    <t>Jeudi</t>
  </si>
  <si>
    <t>NT XII</t>
  </si>
  <si>
    <t>Vendredi</t>
  </si>
  <si>
    <t>NT XIII</t>
  </si>
  <si>
    <t>Samedi</t>
  </si>
  <si>
    <t>2-9</t>
    <phoneticPr fontId="1" type="noConversion"/>
  </si>
  <si>
    <t>1-9</t>
    <phoneticPr fontId="1" type="noConversion"/>
  </si>
  <si>
    <t>48, 2-13</t>
    <phoneticPr fontId="1" type="noConversion"/>
  </si>
  <si>
    <t>48, 14-21</t>
    <phoneticPr fontId="1" type="noConversion"/>
  </si>
  <si>
    <t>54, 2-15</t>
    <phoneticPr fontId="1" type="noConversion"/>
  </si>
  <si>
    <t>101, 13-23</t>
    <phoneticPr fontId="1" type="noConversion"/>
  </si>
  <si>
    <t>101, 24-28</t>
    <phoneticPr fontId="1" type="noConversion"/>
  </si>
  <si>
    <t>I</t>
    <phoneticPr fontId="1" type="noConversion"/>
  </si>
  <si>
    <t>II</t>
    <phoneticPr fontId="1" type="noConversion"/>
  </si>
  <si>
    <t>III</t>
    <phoneticPr fontId="1" type="noConversion"/>
  </si>
  <si>
    <t>IV</t>
    <phoneticPr fontId="1" type="noConversion"/>
  </si>
  <si>
    <t>Laudes</t>
    <phoneticPr fontId="1" type="noConversion"/>
  </si>
  <si>
    <t>Vêpres</t>
    <phoneticPr fontId="1" type="noConversion"/>
  </si>
  <si>
    <t>AT 49</t>
    <phoneticPr fontId="1" type="noConversion"/>
  </si>
  <si>
    <t>AT 4</t>
    <phoneticPr fontId="1" type="noConversion"/>
  </si>
  <si>
    <t>AT 6</t>
    <phoneticPr fontId="1" type="noConversion"/>
  </si>
  <si>
    <t>AT 8</t>
    <phoneticPr fontId="1" type="noConversion"/>
  </si>
  <si>
    <t>AT 44</t>
    <phoneticPr fontId="1" type="noConversion"/>
  </si>
  <si>
    <t>AT 30</t>
    <phoneticPr fontId="1" type="noConversion"/>
  </si>
  <si>
    <t>18-27</t>
    <phoneticPr fontId="1" type="noConversion"/>
  </si>
  <si>
    <t>33-43</t>
    <phoneticPr fontId="1" type="noConversion"/>
  </si>
  <si>
    <t>12-23</t>
    <phoneticPr fontId="1" type="noConversion"/>
  </si>
  <si>
    <t>4</t>
    <phoneticPr fontId="1" type="noConversion"/>
  </si>
  <si>
    <t>2-9</t>
    <phoneticPr fontId="1" type="noConversion"/>
  </si>
  <si>
    <t>AT 1</t>
    <phoneticPr fontId="1" type="noConversion"/>
  </si>
  <si>
    <t>Dimanche</t>
    <phoneticPr fontId="1" type="noConversion"/>
  </si>
  <si>
    <t>Lundi</t>
    <phoneticPr fontId="1" type="noConversion"/>
  </si>
  <si>
    <t>1-16</t>
    <phoneticPr fontId="1" type="noConversion"/>
  </si>
  <si>
    <t>17-32</t>
    <phoneticPr fontId="1" type="noConversion"/>
  </si>
  <si>
    <t>118 -II</t>
    <phoneticPr fontId="1" type="noConversion"/>
  </si>
  <si>
    <t>AT 50</t>
  </si>
  <si>
    <t>AT 55</t>
  </si>
  <si>
    <t>AT 36</t>
  </si>
  <si>
    <t>AT 52</t>
  </si>
  <si>
    <t>AT 59</t>
  </si>
  <si>
    <t>AT 51</t>
  </si>
  <si>
    <t>x</t>
  </si>
  <si>
    <t>Milieu du jour</t>
  </si>
  <si>
    <t>Vigiles</t>
  </si>
  <si>
    <t>AT 58</t>
  </si>
  <si>
    <t>AT 53</t>
  </si>
  <si>
    <t>AT 31</t>
  </si>
  <si>
    <t>Milieu du Jour</t>
  </si>
  <si>
    <t>Répartion Gouzantine/Toulouse</t>
  </si>
  <si>
    <t>113 A</t>
    <phoneticPr fontId="1" type="noConversion"/>
  </si>
  <si>
    <t>118 I</t>
    <phoneticPr fontId="1" type="noConversion"/>
  </si>
  <si>
    <t>65, 1-12</t>
    <phoneticPr fontId="1" type="noConversion"/>
  </si>
  <si>
    <t>65, 13-20</t>
    <phoneticPr fontId="1" type="noConversion"/>
  </si>
  <si>
    <t>103, 1-12</t>
    <phoneticPr fontId="1" type="noConversion"/>
  </si>
  <si>
    <t>118-II</t>
    <phoneticPr fontId="1" type="noConversion"/>
  </si>
  <si>
    <t>103, 13-23</t>
    <phoneticPr fontId="1" type="noConversion"/>
  </si>
  <si>
    <t>103, 24-35</t>
    <phoneticPr fontId="1" type="noConversion"/>
  </si>
  <si>
    <t>117, 1-4</t>
    <phoneticPr fontId="1" type="noConversion"/>
  </si>
  <si>
    <t>117, 5-24</t>
    <phoneticPr fontId="1" type="noConversion"/>
  </si>
  <si>
    <t>29, 1-6</t>
    <phoneticPr fontId="1" type="noConversion"/>
  </si>
  <si>
    <t>117, 25-29</t>
    <phoneticPr fontId="1" type="noConversion"/>
  </si>
  <si>
    <t>29, 7-13</t>
    <phoneticPr fontId="1" type="noConversion"/>
  </si>
  <si>
    <t>135, 1-9</t>
    <phoneticPr fontId="1" type="noConversion"/>
  </si>
  <si>
    <t>135, 10-15</t>
    <phoneticPr fontId="1" type="noConversion"/>
  </si>
  <si>
    <t>75, 1-7</t>
    <phoneticPr fontId="1" type="noConversion"/>
  </si>
  <si>
    <t>135, 16-26</t>
    <phoneticPr fontId="1" type="noConversion"/>
  </si>
  <si>
    <t>75, 8-13</t>
    <phoneticPr fontId="1" type="noConversion"/>
  </si>
  <si>
    <t>Répartition Romaine</t>
  </si>
  <si>
    <t>118-V</t>
  </si>
  <si>
    <t>1-6</t>
  </si>
  <si>
    <t>7-13</t>
  </si>
  <si>
    <t>Psaume</t>
  </si>
  <si>
    <t>39-46</t>
  </si>
  <si>
    <t>Versets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</si>
</sst>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0" x14ac:knownFonts="1">
    <font>
      <sz val="10"/>
      <name val="Verdana"/>
    </font>
    <font>
      <sz val="8"/>
      <name val="Verdana"/>
      <family val="2"/>
    </font>
    <font>
      <sz val="9"/>
      <color indexed="81"/>
      <name val="Verdana"/>
      <family val="2"/>
    </font>
    <font>
      <b/>
      <sz val="9"/>
      <color indexed="81"/>
      <name val="Verdana"/>
      <family val="2"/>
    </font>
    <font>
      <sz val="6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4"/>
      <name val="Verdana"/>
      <family val="2"/>
    </font>
  </fonts>
  <fills count="13">
    <fill>
      <patternFill patternType="none"/>
    </fill>
    <fill>
      <patternFill patternType="gray125"/>
    </fill>
    <fill>
      <patternFill patternType="gray0625">
        <fgColor indexed="8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5">
    <xf numFmtId="0" fontId="0" fillId="0" borderId="0" xfId="0"/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/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/>
    <xf numFmtId="0" fontId="0" fillId="0" borderId="27" xfId="0" applyBorder="1"/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28" xfId="0" quotePrefix="1" applyBorder="1" applyAlignment="1">
      <alignment horizontal="center" vertical="center"/>
    </xf>
    <xf numFmtId="0" fontId="0" fillId="0" borderId="29" xfId="0" quotePrefix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" fontId="0" fillId="0" borderId="19" xfId="0" quotePrefix="1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4" fillId="0" borderId="29" xfId="0" quotePrefix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56" xfId="0" applyBorder="1"/>
    <xf numFmtId="0" fontId="0" fillId="0" borderId="52" xfId="0" applyBorder="1"/>
    <xf numFmtId="0" fontId="0" fillId="0" borderId="50" xfId="0" applyBorder="1"/>
    <xf numFmtId="0" fontId="0" fillId="0" borderId="57" xfId="0" applyBorder="1"/>
    <xf numFmtId="0" fontId="0" fillId="3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0" borderId="18" xfId="0" quotePrefix="1" applyNumberFormat="1" applyBorder="1" applyAlignment="1">
      <alignment horizontal="center" vertical="center"/>
    </xf>
    <xf numFmtId="0" fontId="0" fillId="0" borderId="44" xfId="0" quotePrefix="1" applyBorder="1" applyAlignment="1">
      <alignment horizontal="center" vertical="center"/>
    </xf>
    <xf numFmtId="0" fontId="0" fillId="8" borderId="28" xfId="0" quotePrefix="1" applyFill="1" applyBorder="1" applyAlignment="1">
      <alignment horizontal="center" vertical="center"/>
    </xf>
    <xf numFmtId="0" fontId="0" fillId="8" borderId="29" xfId="0" quotePrefix="1" applyFill="1" applyBorder="1" applyAlignment="1">
      <alignment horizontal="center" vertical="center"/>
    </xf>
    <xf numFmtId="0" fontId="0" fillId="8" borderId="5" xfId="0" quotePrefix="1" applyFill="1" applyBorder="1" applyAlignment="1">
      <alignment horizontal="center" vertical="center"/>
    </xf>
    <xf numFmtId="0" fontId="0" fillId="8" borderId="18" xfId="0" quotePrefix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0" xfId="0" quotePrefix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3" borderId="8" xfId="0" quotePrefix="1" applyFill="1" applyBorder="1" applyAlignment="1">
      <alignment horizontal="center" vertical="center"/>
    </xf>
    <xf numFmtId="0" fontId="0" fillId="3" borderId="28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6" xfId="0" quotePrefix="1" applyFill="1" applyBorder="1" applyAlignment="1">
      <alignment horizontal="center" vertical="center"/>
    </xf>
    <xf numFmtId="0" fontId="0" fillId="3" borderId="29" xfId="0" quotePrefix="1" applyFill="1" applyBorder="1" applyAlignment="1">
      <alignment horizontal="center" vertical="center"/>
    </xf>
    <xf numFmtId="0" fontId="0" fillId="3" borderId="17" xfId="0" quotePrefix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4" borderId="4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7" borderId="43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5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0" borderId="60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vertical="center"/>
    </xf>
    <xf numFmtId="0" fontId="0" fillId="0" borderId="23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61" xfId="0" quotePrefix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9" borderId="7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0" xfId="0" quotePrefix="1" applyFill="1" applyBorder="1" applyAlignment="1">
      <alignment horizontal="center" vertical="center"/>
    </xf>
    <xf numFmtId="0" fontId="0" fillId="9" borderId="16" xfId="0" quotePrefix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0" xfId="0" applyFill="1"/>
    <xf numFmtId="0" fontId="0" fillId="10" borderId="10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0" borderId="30" xfId="0" quotePrefix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6" xfId="0" applyBorder="1"/>
    <xf numFmtId="0" fontId="0" fillId="0" borderId="5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11" borderId="8" xfId="0" applyFill="1" applyBorder="1" applyAlignment="1">
      <alignment horizontal="center" vertical="center"/>
    </xf>
    <xf numFmtId="0" fontId="0" fillId="11" borderId="52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50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57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6" xfId="0" quotePrefix="1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12" borderId="0" xfId="0" applyFill="1"/>
    <xf numFmtId="0" fontId="7" fillId="0" borderId="0" xfId="0" applyFont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12" borderId="65" xfId="0" applyFill="1" applyBorder="1" applyAlignment="1">
      <alignment horizontal="center" vertical="center"/>
    </xf>
    <xf numFmtId="0" fontId="8" fillId="12" borderId="67" xfId="0" applyFont="1" applyFill="1" applyBorder="1" applyAlignment="1">
      <alignment horizontal="center" vertical="center"/>
    </xf>
    <xf numFmtId="0" fontId="8" fillId="0" borderId="29" xfId="0" quotePrefix="1" applyFont="1" applyBorder="1" applyAlignment="1">
      <alignment horizontal="center" vertical="center"/>
    </xf>
    <xf numFmtId="0" fontId="8" fillId="0" borderId="30" xfId="0" quotePrefix="1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1" xfId="0" applyBorder="1"/>
    <xf numFmtId="0" fontId="0" fillId="0" borderId="27" xfId="0" applyBorder="1"/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7" fillId="0" borderId="21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17" fontId="0" fillId="0" borderId="16" xfId="0" quotePrefix="1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"/>
  <sheetViews>
    <sheetView showGridLines="0" tabSelected="1" topLeftCell="A93" zoomScale="125" workbookViewId="0">
      <selection activeCell="A99" sqref="A99"/>
    </sheetView>
  </sheetViews>
  <sheetFormatPr baseColWidth="10" defaultRowHeight="13" x14ac:dyDescent="0.15"/>
  <cols>
    <col min="2" max="2" width="5.6640625" bestFit="1" customWidth="1"/>
  </cols>
  <sheetData>
    <row r="1" spans="1:2" x14ac:dyDescent="0.15">
      <c r="A1" s="220" t="s">
        <v>448</v>
      </c>
      <c r="B1" s="220" t="s">
        <v>450</v>
      </c>
    </row>
    <row r="2" spans="1:2" x14ac:dyDescent="0.15">
      <c r="A2" s="1">
        <v>7</v>
      </c>
      <c r="B2" s="45" t="s">
        <v>148</v>
      </c>
    </row>
    <row r="3" spans="1:2" x14ac:dyDescent="0.15">
      <c r="A3" s="1">
        <v>7</v>
      </c>
      <c r="B3" s="45" t="s">
        <v>149</v>
      </c>
    </row>
    <row r="4" spans="1:2" x14ac:dyDescent="0.15">
      <c r="A4" s="1">
        <v>16</v>
      </c>
      <c r="B4" s="45" t="s">
        <v>155</v>
      </c>
    </row>
    <row r="5" spans="1:2" x14ac:dyDescent="0.15">
      <c r="A5" s="1">
        <v>16</v>
      </c>
      <c r="B5" s="45" t="s">
        <v>156</v>
      </c>
    </row>
    <row r="6" spans="1:2" x14ac:dyDescent="0.15">
      <c r="A6" s="1">
        <v>17</v>
      </c>
      <c r="B6" s="45" t="s">
        <v>290</v>
      </c>
    </row>
    <row r="7" spans="1:2" x14ac:dyDescent="0.15">
      <c r="A7" s="1">
        <v>17</v>
      </c>
      <c r="B7" s="45" t="s">
        <v>291</v>
      </c>
    </row>
    <row r="8" spans="1:2" x14ac:dyDescent="0.15">
      <c r="A8" s="1">
        <v>17</v>
      </c>
      <c r="B8" s="45" t="s">
        <v>292</v>
      </c>
    </row>
    <row r="9" spans="1:2" x14ac:dyDescent="0.15">
      <c r="A9" s="1">
        <v>17</v>
      </c>
      <c r="B9" s="45" t="s">
        <v>293</v>
      </c>
    </row>
    <row r="10" spans="1:2" x14ac:dyDescent="0.15">
      <c r="A10" s="1">
        <v>17</v>
      </c>
      <c r="B10" s="45" t="s">
        <v>294</v>
      </c>
    </row>
    <row r="11" spans="1:2" x14ac:dyDescent="0.15">
      <c r="A11" s="1">
        <v>17</v>
      </c>
      <c r="B11" s="45" t="s">
        <v>295</v>
      </c>
    </row>
    <row r="12" spans="1:2" x14ac:dyDescent="0.15">
      <c r="A12" s="1">
        <v>21</v>
      </c>
      <c r="B12" s="1" t="s">
        <v>23</v>
      </c>
    </row>
    <row r="13" spans="1:2" x14ac:dyDescent="0.15">
      <c r="A13" s="1">
        <v>21</v>
      </c>
      <c r="B13" s="1" t="s">
        <v>35</v>
      </c>
    </row>
    <row r="14" spans="1:2" x14ac:dyDescent="0.15">
      <c r="A14" s="1">
        <v>21</v>
      </c>
      <c r="B14" s="1" t="s">
        <v>36</v>
      </c>
    </row>
    <row r="15" spans="1:2" x14ac:dyDescent="0.15">
      <c r="A15" s="1">
        <v>24</v>
      </c>
      <c r="B15" s="45" t="s">
        <v>155</v>
      </c>
    </row>
    <row r="16" spans="1:2" x14ac:dyDescent="0.15">
      <c r="A16" s="1">
        <v>24</v>
      </c>
      <c r="B16" s="45" t="s">
        <v>300</v>
      </c>
    </row>
    <row r="17" spans="1:2" x14ac:dyDescent="0.15">
      <c r="A17" s="1">
        <v>26</v>
      </c>
      <c r="B17" s="1" t="s">
        <v>18</v>
      </c>
    </row>
    <row r="18" spans="1:2" x14ac:dyDescent="0.15">
      <c r="A18" s="1">
        <v>26</v>
      </c>
      <c r="B18" s="1" t="s">
        <v>205</v>
      </c>
    </row>
    <row r="19" spans="1:2" x14ac:dyDescent="0.15">
      <c r="A19" s="1">
        <v>30</v>
      </c>
      <c r="B19" s="45" t="s">
        <v>405</v>
      </c>
    </row>
    <row r="20" spans="1:2" x14ac:dyDescent="0.15">
      <c r="A20" s="1">
        <v>30</v>
      </c>
      <c r="B20" s="45" t="s">
        <v>264</v>
      </c>
    </row>
    <row r="21" spans="1:2" x14ac:dyDescent="0.15">
      <c r="A21" s="1">
        <v>30</v>
      </c>
      <c r="B21" s="45" t="s">
        <v>265</v>
      </c>
    </row>
    <row r="22" spans="1:2" x14ac:dyDescent="0.15">
      <c r="A22" s="1">
        <v>33</v>
      </c>
      <c r="B22" s="1" t="s">
        <v>23</v>
      </c>
    </row>
    <row r="23" spans="1:2" x14ac:dyDescent="0.15">
      <c r="A23" s="1">
        <v>33</v>
      </c>
      <c r="B23" s="1" t="s">
        <v>403</v>
      </c>
    </row>
    <row r="24" spans="1:2" x14ac:dyDescent="0.15">
      <c r="A24" s="1">
        <v>33</v>
      </c>
      <c r="B24" s="1" t="s">
        <v>23</v>
      </c>
    </row>
    <row r="25" spans="1:2" x14ac:dyDescent="0.15">
      <c r="A25" s="1">
        <v>33</v>
      </c>
      <c r="B25" s="1" t="s">
        <v>403</v>
      </c>
    </row>
    <row r="26" spans="1:2" x14ac:dyDescent="0.15">
      <c r="A26" s="1">
        <v>34</v>
      </c>
      <c r="B26" s="45" t="s">
        <v>159</v>
      </c>
    </row>
    <row r="27" spans="1:2" x14ac:dyDescent="0.15">
      <c r="A27" s="1">
        <v>34</v>
      </c>
      <c r="B27" s="45" t="s">
        <v>280</v>
      </c>
    </row>
    <row r="28" spans="1:2" x14ac:dyDescent="0.15">
      <c r="A28" s="1">
        <v>34</v>
      </c>
      <c r="B28" s="45" t="s">
        <v>296</v>
      </c>
    </row>
    <row r="29" spans="1:2" x14ac:dyDescent="0.15">
      <c r="A29" s="1">
        <v>36</v>
      </c>
      <c r="B29" s="45" t="s">
        <v>269</v>
      </c>
    </row>
    <row r="30" spans="1:2" x14ac:dyDescent="0.15">
      <c r="A30" s="1">
        <v>36</v>
      </c>
      <c r="B30" s="45" t="s">
        <v>270</v>
      </c>
    </row>
    <row r="31" spans="1:2" x14ac:dyDescent="0.15">
      <c r="A31" s="1">
        <v>36</v>
      </c>
      <c r="B31" s="45" t="s">
        <v>271</v>
      </c>
    </row>
    <row r="32" spans="1:2" x14ac:dyDescent="0.15">
      <c r="A32" s="1">
        <v>37</v>
      </c>
      <c r="B32" s="45" t="s">
        <v>6</v>
      </c>
    </row>
    <row r="33" spans="1:2" x14ac:dyDescent="0.15">
      <c r="A33" s="1">
        <v>37</v>
      </c>
      <c r="B33" s="45" t="s">
        <v>7</v>
      </c>
    </row>
    <row r="34" spans="1:2" x14ac:dyDescent="0.15">
      <c r="A34" s="1">
        <v>37</v>
      </c>
      <c r="B34" s="45" t="s">
        <v>8</v>
      </c>
    </row>
    <row r="35" spans="1:2" x14ac:dyDescent="0.15">
      <c r="A35" s="1">
        <v>38</v>
      </c>
      <c r="B35" s="45" t="s">
        <v>229</v>
      </c>
    </row>
    <row r="36" spans="1:2" x14ac:dyDescent="0.15">
      <c r="A36" s="1">
        <v>38</v>
      </c>
      <c r="B36" s="45" t="s">
        <v>233</v>
      </c>
    </row>
    <row r="37" spans="1:2" x14ac:dyDescent="0.15">
      <c r="A37" s="1">
        <v>39</v>
      </c>
      <c r="B37" s="45" t="s">
        <v>382</v>
      </c>
    </row>
    <row r="38" spans="1:2" x14ac:dyDescent="0.15">
      <c r="A38" s="1">
        <v>39</v>
      </c>
      <c r="B38" s="45" t="s">
        <v>266</v>
      </c>
    </row>
    <row r="39" spans="1:2" x14ac:dyDescent="0.15">
      <c r="A39" s="1">
        <v>43</v>
      </c>
      <c r="B39" s="45" t="s">
        <v>405</v>
      </c>
    </row>
    <row r="40" spans="1:2" x14ac:dyDescent="0.15">
      <c r="A40" s="1">
        <v>43</v>
      </c>
      <c r="B40" s="45" t="s">
        <v>236</v>
      </c>
    </row>
    <row r="41" spans="1:2" x14ac:dyDescent="0.15">
      <c r="A41" s="1">
        <v>43</v>
      </c>
      <c r="B41" s="45" t="s">
        <v>401</v>
      </c>
    </row>
    <row r="42" spans="1:2" x14ac:dyDescent="0.15">
      <c r="A42" s="1"/>
      <c r="B42" s="45"/>
    </row>
    <row r="43" spans="1:2" x14ac:dyDescent="0.15">
      <c r="A43" s="1"/>
      <c r="B43" s="45"/>
    </row>
    <row r="44" spans="1:2" x14ac:dyDescent="0.15">
      <c r="A44" s="1"/>
      <c r="B44" s="45"/>
    </row>
    <row r="45" spans="1:2" x14ac:dyDescent="0.15">
      <c r="A45" s="1">
        <v>44</v>
      </c>
      <c r="B45" s="45" t="s">
        <v>148</v>
      </c>
    </row>
    <row r="46" spans="1:2" x14ac:dyDescent="0.15">
      <c r="A46" s="1">
        <v>44</v>
      </c>
      <c r="B46" s="45" t="s">
        <v>149</v>
      </c>
    </row>
    <row r="47" spans="1:2" x14ac:dyDescent="0.15">
      <c r="A47" s="1"/>
      <c r="B47" s="1"/>
    </row>
    <row r="48" spans="1:2" x14ac:dyDescent="0.15">
      <c r="A48" s="1"/>
      <c r="B48" s="1"/>
    </row>
    <row r="49" spans="1:2" x14ac:dyDescent="0.15">
      <c r="A49" s="1">
        <v>48</v>
      </c>
      <c r="B49" s="1" t="s">
        <v>146</v>
      </c>
    </row>
    <row r="50" spans="1:2" x14ac:dyDescent="0.15">
      <c r="A50" s="1">
        <v>48</v>
      </c>
      <c r="B50" s="45" t="s">
        <v>147</v>
      </c>
    </row>
    <row r="51" spans="1:2" x14ac:dyDescent="0.15">
      <c r="A51" s="45">
        <v>49</v>
      </c>
      <c r="B51" s="45" t="s">
        <v>18</v>
      </c>
    </row>
    <row r="52" spans="1:2" x14ac:dyDescent="0.15">
      <c r="A52" s="45">
        <v>49</v>
      </c>
      <c r="B52" s="45" t="s">
        <v>19</v>
      </c>
    </row>
    <row r="53" spans="1:2" x14ac:dyDescent="0.15">
      <c r="A53" s="45">
        <v>49</v>
      </c>
      <c r="B53" s="45" t="s">
        <v>20</v>
      </c>
    </row>
    <row r="54" spans="1:2" x14ac:dyDescent="0.15">
      <c r="A54" s="1"/>
      <c r="B54" s="45"/>
    </row>
    <row r="55" spans="1:2" x14ac:dyDescent="0.15">
      <c r="A55" s="1"/>
      <c r="B55" s="45"/>
    </row>
    <row r="56" spans="1:2" x14ac:dyDescent="0.15">
      <c r="A56" s="1"/>
      <c r="B56" s="45"/>
    </row>
    <row r="57" spans="1:2" x14ac:dyDescent="0.15">
      <c r="A57" s="1">
        <v>54</v>
      </c>
      <c r="B57" s="45" t="s">
        <v>279</v>
      </c>
    </row>
    <row r="58" spans="1:2" x14ac:dyDescent="0.15">
      <c r="A58" s="1">
        <v>54</v>
      </c>
      <c r="B58" s="45" t="s">
        <v>280</v>
      </c>
    </row>
    <row r="59" spans="1:2" x14ac:dyDescent="0.15">
      <c r="A59" s="1">
        <v>54</v>
      </c>
      <c r="B59" s="45" t="s">
        <v>281</v>
      </c>
    </row>
    <row r="60" spans="1:2" x14ac:dyDescent="0.15">
      <c r="A60" s="1">
        <v>54</v>
      </c>
      <c r="B60" s="45" t="s">
        <v>235</v>
      </c>
    </row>
    <row r="61" spans="1:2" x14ac:dyDescent="0.15">
      <c r="A61" s="1">
        <v>54</v>
      </c>
      <c r="B61" s="45" t="s">
        <v>234</v>
      </c>
    </row>
    <row r="62" spans="1:2" x14ac:dyDescent="0.15">
      <c r="A62" s="1">
        <v>65</v>
      </c>
      <c r="B62" s="45" t="s">
        <v>206</v>
      </c>
    </row>
    <row r="63" spans="1:2" x14ac:dyDescent="0.15">
      <c r="A63" s="1">
        <v>65</v>
      </c>
      <c r="B63" s="45" t="s">
        <v>4</v>
      </c>
    </row>
    <row r="64" spans="1:2" x14ac:dyDescent="0.15">
      <c r="A64" s="45">
        <v>67</v>
      </c>
      <c r="B64" s="45" t="s">
        <v>23</v>
      </c>
    </row>
    <row r="65" spans="1:2" x14ac:dyDescent="0.15">
      <c r="A65" s="45">
        <v>67</v>
      </c>
      <c r="B65" s="45" t="s">
        <v>24</v>
      </c>
    </row>
    <row r="66" spans="1:2" x14ac:dyDescent="0.15">
      <c r="A66" s="45">
        <v>67</v>
      </c>
      <c r="B66" s="45" t="s">
        <v>25</v>
      </c>
    </row>
    <row r="67" spans="1:2" x14ac:dyDescent="0.15">
      <c r="A67" s="45">
        <v>68</v>
      </c>
      <c r="B67" s="45" t="s">
        <v>272</v>
      </c>
    </row>
    <row r="68" spans="1:2" x14ac:dyDescent="0.15">
      <c r="A68" s="45">
        <v>68</v>
      </c>
      <c r="B68" s="45" t="s">
        <v>33</v>
      </c>
    </row>
    <row r="69" spans="1:2" x14ac:dyDescent="0.15">
      <c r="A69" s="45">
        <v>68</v>
      </c>
      <c r="B69" s="45" t="s">
        <v>34</v>
      </c>
    </row>
    <row r="70" spans="1:2" x14ac:dyDescent="0.15">
      <c r="A70" s="1">
        <v>70</v>
      </c>
      <c r="B70" s="45" t="s">
        <v>21</v>
      </c>
    </row>
    <row r="71" spans="1:2" x14ac:dyDescent="0.15">
      <c r="A71" s="1">
        <v>70</v>
      </c>
      <c r="B71" s="45" t="s">
        <v>22</v>
      </c>
    </row>
    <row r="72" spans="1:2" x14ac:dyDescent="0.15">
      <c r="A72" s="1">
        <v>71</v>
      </c>
      <c r="B72" s="1" t="s">
        <v>150</v>
      </c>
    </row>
    <row r="73" spans="1:2" x14ac:dyDescent="0.15">
      <c r="A73" s="1">
        <v>71</v>
      </c>
      <c r="B73" s="1" t="s">
        <v>5</v>
      </c>
    </row>
    <row r="74" spans="1:2" x14ac:dyDescent="0.15">
      <c r="A74" s="1">
        <v>72</v>
      </c>
      <c r="B74" s="45" t="s">
        <v>206</v>
      </c>
    </row>
    <row r="75" spans="1:2" x14ac:dyDescent="0.15">
      <c r="A75" s="1">
        <v>72</v>
      </c>
      <c r="B75" s="45" t="s">
        <v>4</v>
      </c>
    </row>
    <row r="76" spans="1:2" x14ac:dyDescent="0.15">
      <c r="A76" s="1">
        <v>72</v>
      </c>
      <c r="B76" s="45" t="s">
        <v>70</v>
      </c>
    </row>
    <row r="77" spans="1:2" x14ac:dyDescent="0.15">
      <c r="A77" s="1">
        <v>73</v>
      </c>
      <c r="B77" s="1" t="s">
        <v>9</v>
      </c>
    </row>
    <row r="78" spans="1:2" x14ac:dyDescent="0.15">
      <c r="A78" s="1">
        <v>73</v>
      </c>
      <c r="B78" s="1" t="s">
        <v>26</v>
      </c>
    </row>
    <row r="79" spans="1:2" x14ac:dyDescent="0.15">
      <c r="A79" s="1">
        <v>75</v>
      </c>
      <c r="B79" s="45" t="s">
        <v>229</v>
      </c>
    </row>
    <row r="80" spans="1:2" x14ac:dyDescent="0.15">
      <c r="A80" s="1">
        <v>75</v>
      </c>
      <c r="B80" s="45" t="s">
        <v>230</v>
      </c>
    </row>
    <row r="81" spans="1:2" x14ac:dyDescent="0.15">
      <c r="A81" s="1">
        <v>87</v>
      </c>
      <c r="B81" s="45" t="s">
        <v>312</v>
      </c>
    </row>
    <row r="82" spans="1:2" x14ac:dyDescent="0.15">
      <c r="A82" s="1">
        <v>87</v>
      </c>
      <c r="B82" s="45" t="s">
        <v>311</v>
      </c>
    </row>
    <row r="83" spans="1:2" x14ac:dyDescent="0.15">
      <c r="A83" s="45">
        <v>88</v>
      </c>
      <c r="B83" s="45" t="s">
        <v>27</v>
      </c>
    </row>
    <row r="84" spans="1:2" x14ac:dyDescent="0.15">
      <c r="A84" s="45">
        <v>88</v>
      </c>
      <c r="B84" s="45" t="s">
        <v>28</v>
      </c>
    </row>
    <row r="85" spans="1:2" x14ac:dyDescent="0.15">
      <c r="A85" s="45">
        <v>88</v>
      </c>
      <c r="B85" s="45" t="s">
        <v>29</v>
      </c>
    </row>
    <row r="86" spans="1:2" x14ac:dyDescent="0.15">
      <c r="A86" s="45">
        <v>88</v>
      </c>
      <c r="B86" s="45" t="s">
        <v>449</v>
      </c>
    </row>
    <row r="87" spans="1:2" x14ac:dyDescent="0.15">
      <c r="A87" s="45">
        <v>88</v>
      </c>
      <c r="B87" s="45" t="s">
        <v>31</v>
      </c>
    </row>
    <row r="88" spans="1:2" x14ac:dyDescent="0.15">
      <c r="A88" s="1">
        <v>93</v>
      </c>
      <c r="B88" s="45" t="s">
        <v>150</v>
      </c>
    </row>
    <row r="89" spans="1:2" x14ac:dyDescent="0.15">
      <c r="A89" s="1">
        <v>93</v>
      </c>
      <c r="B89" s="45" t="s">
        <v>314</v>
      </c>
    </row>
    <row r="90" spans="1:2" x14ac:dyDescent="0.15">
      <c r="A90" s="1">
        <v>101</v>
      </c>
      <c r="B90" s="45" t="s">
        <v>71</v>
      </c>
    </row>
    <row r="91" spans="1:2" x14ac:dyDescent="0.15">
      <c r="A91" s="1">
        <v>101</v>
      </c>
      <c r="B91" s="45" t="s">
        <v>72</v>
      </c>
    </row>
    <row r="92" spans="1:2" x14ac:dyDescent="0.15">
      <c r="A92" s="1">
        <v>101</v>
      </c>
      <c r="B92" s="45" t="s">
        <v>73</v>
      </c>
    </row>
    <row r="93" spans="1:2" x14ac:dyDescent="0.15">
      <c r="A93" s="1">
        <v>102</v>
      </c>
      <c r="B93" s="45" t="s">
        <v>74</v>
      </c>
    </row>
    <row r="94" spans="1:2" x14ac:dyDescent="0.15">
      <c r="A94" s="1">
        <v>102</v>
      </c>
      <c r="B94" s="45" t="s">
        <v>75</v>
      </c>
    </row>
    <row r="95" spans="1:2" x14ac:dyDescent="0.15">
      <c r="A95" s="1">
        <v>102</v>
      </c>
      <c r="B95" s="45" t="s">
        <v>76</v>
      </c>
    </row>
    <row r="96" spans="1:2" x14ac:dyDescent="0.15">
      <c r="A96" s="1">
        <v>103</v>
      </c>
      <c r="B96" s="45" t="s">
        <v>226</v>
      </c>
    </row>
    <row r="97" spans="1:2" x14ac:dyDescent="0.15">
      <c r="A97" s="1">
        <v>103</v>
      </c>
      <c r="B97" s="45" t="s">
        <v>227</v>
      </c>
    </row>
    <row r="98" spans="1:2" x14ac:dyDescent="0.15">
      <c r="A98" s="1">
        <v>103</v>
      </c>
      <c r="B98" s="45" t="s">
        <v>228</v>
      </c>
    </row>
    <row r="99" spans="1:2" x14ac:dyDescent="0.15">
      <c r="A99" s="45">
        <v>106</v>
      </c>
      <c r="B99" s="284" t="s">
        <v>409</v>
      </c>
    </row>
    <row r="100" spans="1:2" x14ac:dyDescent="0.15">
      <c r="A100" s="45">
        <v>106</v>
      </c>
      <c r="B100" s="45" t="s">
        <v>410</v>
      </c>
    </row>
    <row r="101" spans="1:2" x14ac:dyDescent="0.15">
      <c r="A101" s="45">
        <v>106</v>
      </c>
      <c r="B101" s="45" t="s">
        <v>402</v>
      </c>
    </row>
    <row r="102" spans="1:2" x14ac:dyDescent="0.15">
      <c r="A102" s="1">
        <v>117</v>
      </c>
      <c r="B102" s="1" t="s">
        <v>15</v>
      </c>
    </row>
    <row r="103" spans="1:2" x14ac:dyDescent="0.15">
      <c r="A103" s="1">
        <v>117</v>
      </c>
      <c r="B103" s="45" t="s">
        <v>16</v>
      </c>
    </row>
    <row r="104" spans="1:2" x14ac:dyDescent="0.15">
      <c r="A104" s="1">
        <v>117</v>
      </c>
      <c r="B104" s="45" t="s">
        <v>17</v>
      </c>
    </row>
    <row r="105" spans="1:2" x14ac:dyDescent="0.15">
      <c r="A105" s="1">
        <v>131</v>
      </c>
      <c r="B105" s="45" t="s">
        <v>159</v>
      </c>
    </row>
    <row r="106" spans="1:2" x14ac:dyDescent="0.15">
      <c r="A106" s="1">
        <v>131</v>
      </c>
      <c r="B106" s="45" t="s">
        <v>297</v>
      </c>
    </row>
    <row r="107" spans="1:2" x14ac:dyDescent="0.15">
      <c r="A107" s="1">
        <v>131</v>
      </c>
      <c r="B107" s="1" t="s">
        <v>32</v>
      </c>
    </row>
    <row r="108" spans="1:2" x14ac:dyDescent="0.15">
      <c r="A108" s="1">
        <v>131</v>
      </c>
      <c r="B108" s="1" t="s">
        <v>149</v>
      </c>
    </row>
    <row r="109" spans="1:2" x14ac:dyDescent="0.15">
      <c r="A109" s="1">
        <v>134</v>
      </c>
      <c r="B109" s="1" t="s">
        <v>206</v>
      </c>
    </row>
    <row r="110" spans="1:2" x14ac:dyDescent="0.15">
      <c r="A110" s="1">
        <v>134</v>
      </c>
      <c r="B110" s="1" t="s">
        <v>37</v>
      </c>
    </row>
    <row r="111" spans="1:2" x14ac:dyDescent="0.15">
      <c r="A111" s="1">
        <v>135</v>
      </c>
      <c r="B111" s="45" t="s">
        <v>9</v>
      </c>
    </row>
    <row r="112" spans="1:2" x14ac:dyDescent="0.15">
      <c r="A112" s="1">
        <v>135</v>
      </c>
      <c r="B112" s="45" t="s">
        <v>10</v>
      </c>
    </row>
    <row r="113" spans="1:2" x14ac:dyDescent="0.15">
      <c r="A113" s="1">
        <v>135</v>
      </c>
      <c r="B113" s="45" t="s">
        <v>11</v>
      </c>
    </row>
    <row r="114" spans="1:2" x14ac:dyDescent="0.15">
      <c r="A114" s="1">
        <v>135</v>
      </c>
      <c r="B114" s="1" t="s">
        <v>9</v>
      </c>
    </row>
    <row r="115" spans="1:2" x14ac:dyDescent="0.15">
      <c r="A115" s="1">
        <v>135</v>
      </c>
      <c r="B115" s="1" t="s">
        <v>158</v>
      </c>
    </row>
    <row r="116" spans="1:2" x14ac:dyDescent="0.15">
      <c r="A116" s="1">
        <v>138</v>
      </c>
      <c r="B116" s="1" t="s">
        <v>32</v>
      </c>
    </row>
    <row r="117" spans="1:2" x14ac:dyDescent="0.15">
      <c r="A117" s="1">
        <v>138</v>
      </c>
      <c r="B117" s="1" t="s">
        <v>160</v>
      </c>
    </row>
    <row r="118" spans="1:2" x14ac:dyDescent="0.15">
      <c r="A118" s="1">
        <v>143</v>
      </c>
      <c r="B118" s="1" t="s">
        <v>161</v>
      </c>
    </row>
    <row r="119" spans="1:2" x14ac:dyDescent="0.15">
      <c r="A119" s="1">
        <v>143</v>
      </c>
      <c r="B119" s="1" t="s">
        <v>202</v>
      </c>
    </row>
    <row r="120" spans="1:2" x14ac:dyDescent="0.15">
      <c r="A120" s="45">
        <v>144</v>
      </c>
      <c r="B120" s="45" t="s">
        <v>9</v>
      </c>
    </row>
    <row r="121" spans="1:2" x14ac:dyDescent="0.15">
      <c r="A121" s="45">
        <v>144</v>
      </c>
      <c r="B121" s="45" t="s">
        <v>13</v>
      </c>
    </row>
    <row r="122" spans="1:2" x14ac:dyDescent="0.15">
      <c r="A122" s="45">
        <v>144</v>
      </c>
      <c r="B122" s="45" t="s">
        <v>14</v>
      </c>
    </row>
    <row r="123" spans="1:2" x14ac:dyDescent="0.15">
      <c r="A123" s="1">
        <v>144</v>
      </c>
      <c r="B123" s="1" t="s">
        <v>200</v>
      </c>
    </row>
    <row r="124" spans="1:2" x14ac:dyDescent="0.15">
      <c r="A124" s="1">
        <v>144</v>
      </c>
      <c r="B124" s="1" t="s">
        <v>201</v>
      </c>
    </row>
    <row r="125" spans="1:2" x14ac:dyDescent="0.15">
      <c r="A125" s="1" t="s">
        <v>286</v>
      </c>
      <c r="B125" s="45" t="s">
        <v>284</v>
      </c>
    </row>
    <row r="126" spans="1:2" x14ac:dyDescent="0.15">
      <c r="A126" s="1" t="s">
        <v>286</v>
      </c>
      <c r="B126" s="45" t="s">
        <v>285</v>
      </c>
    </row>
    <row r="127" spans="1:2" x14ac:dyDescent="0.15">
      <c r="A127" s="1" t="s">
        <v>287</v>
      </c>
      <c r="B127" s="45" t="s">
        <v>288</v>
      </c>
    </row>
    <row r="128" spans="1:2" x14ac:dyDescent="0.15">
      <c r="A128" s="1" t="s">
        <v>287</v>
      </c>
      <c r="B128" s="45" t="s">
        <v>289</v>
      </c>
    </row>
  </sheetData>
  <autoFilter ref="A1:B128" xr:uid="{00000000-0001-0000-0000-000000000000}">
    <sortState xmlns:xlrd2="http://schemas.microsoft.com/office/spreadsheetml/2017/richdata2" ref="A2:B128">
      <sortCondition ref="A1:A128"/>
    </sortState>
  </autoFilter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4"/>
  <sheetViews>
    <sheetView showGridLines="0" workbookViewId="0">
      <selection activeCell="C7" sqref="C7"/>
    </sheetView>
  </sheetViews>
  <sheetFormatPr baseColWidth="10" defaultRowHeight="13" x14ac:dyDescent="0.15"/>
  <sheetData>
    <row r="1" spans="2:6" ht="14" thickBot="1" x14ac:dyDescent="0.2"/>
    <row r="2" spans="2:6" x14ac:dyDescent="0.15">
      <c r="B2" s="26"/>
      <c r="C2" s="245" t="s">
        <v>177</v>
      </c>
      <c r="D2" s="246"/>
      <c r="E2" s="246"/>
      <c r="F2" s="247"/>
    </row>
    <row r="3" spans="2:6" ht="14" thickBot="1" x14ac:dyDescent="0.2">
      <c r="B3" s="27"/>
      <c r="C3" s="6" t="s">
        <v>240</v>
      </c>
      <c r="D3" s="2" t="s">
        <v>273</v>
      </c>
      <c r="E3" s="2" t="s">
        <v>274</v>
      </c>
      <c r="F3" s="3" t="s">
        <v>275</v>
      </c>
    </row>
    <row r="4" spans="2:6" x14ac:dyDescent="0.15">
      <c r="B4" s="248" t="s">
        <v>407</v>
      </c>
      <c r="C4" s="11">
        <v>62</v>
      </c>
      <c r="D4" s="12">
        <v>117</v>
      </c>
      <c r="E4" s="14">
        <v>92</v>
      </c>
      <c r="F4" s="13">
        <v>117</v>
      </c>
    </row>
    <row r="5" spans="2:6" x14ac:dyDescent="0.15">
      <c r="B5" s="249"/>
      <c r="C5" s="9" t="s">
        <v>395</v>
      </c>
      <c r="D5" s="1" t="s">
        <v>257</v>
      </c>
      <c r="E5" s="7" t="s">
        <v>332</v>
      </c>
      <c r="F5" s="10" t="s">
        <v>324</v>
      </c>
    </row>
    <row r="6" spans="2:6" ht="14" thickBot="1" x14ac:dyDescent="0.2">
      <c r="B6" s="250"/>
      <c r="C6" s="8">
        <v>149</v>
      </c>
      <c r="D6" s="2">
        <v>150</v>
      </c>
      <c r="E6" s="6">
        <v>148</v>
      </c>
      <c r="F6" s="3">
        <v>150</v>
      </c>
    </row>
    <row r="7" spans="2:6" x14ac:dyDescent="0.15">
      <c r="B7" s="235" t="s">
        <v>408</v>
      </c>
      <c r="C7" s="11">
        <v>5</v>
      </c>
      <c r="D7" s="12">
        <v>41</v>
      </c>
      <c r="E7" s="14">
        <v>83</v>
      </c>
      <c r="F7" s="13">
        <v>89</v>
      </c>
    </row>
    <row r="8" spans="2:6" x14ac:dyDescent="0.15">
      <c r="B8" s="236"/>
      <c r="C8" s="9" t="s">
        <v>396</v>
      </c>
      <c r="D8" s="1" t="s">
        <v>325</v>
      </c>
      <c r="E8" s="7" t="s">
        <v>333</v>
      </c>
      <c r="F8" s="10" t="s">
        <v>334</v>
      </c>
    </row>
    <row r="9" spans="2:6" ht="14" thickBot="1" x14ac:dyDescent="0.2">
      <c r="B9" s="237"/>
      <c r="C9" s="8">
        <v>28</v>
      </c>
      <c r="D9" s="2" t="s">
        <v>331</v>
      </c>
      <c r="E9" s="6">
        <v>95</v>
      </c>
      <c r="F9" s="3">
        <v>134</v>
      </c>
    </row>
    <row r="10" spans="2:6" x14ac:dyDescent="0.15">
      <c r="B10" s="235" t="s">
        <v>252</v>
      </c>
      <c r="C10" s="9">
        <v>23</v>
      </c>
      <c r="D10" s="1">
        <v>42</v>
      </c>
      <c r="E10" s="7">
        <v>84</v>
      </c>
      <c r="F10" s="10">
        <v>100</v>
      </c>
    </row>
    <row r="11" spans="2:6" x14ac:dyDescent="0.15">
      <c r="B11" s="236"/>
      <c r="C11" s="9" t="s">
        <v>397</v>
      </c>
      <c r="D11" s="1" t="s">
        <v>326</v>
      </c>
      <c r="E11" s="7" t="s">
        <v>335</v>
      </c>
      <c r="F11" s="10" t="s">
        <v>336</v>
      </c>
    </row>
    <row r="12" spans="2:6" ht="14" thickBot="1" x14ac:dyDescent="0.2">
      <c r="B12" s="237"/>
      <c r="C12" s="9">
        <v>32</v>
      </c>
      <c r="D12" s="1">
        <v>64</v>
      </c>
      <c r="E12" s="7">
        <v>66</v>
      </c>
      <c r="F12" s="10">
        <v>143</v>
      </c>
    </row>
    <row r="13" spans="2:6" x14ac:dyDescent="0.15">
      <c r="B13" s="235" t="s">
        <v>253</v>
      </c>
      <c r="C13" s="11">
        <v>35</v>
      </c>
      <c r="D13" s="12">
        <v>76</v>
      </c>
      <c r="E13" s="14">
        <v>85</v>
      </c>
      <c r="F13" s="13">
        <v>107</v>
      </c>
    </row>
    <row r="14" spans="2:6" x14ac:dyDescent="0.15">
      <c r="B14" s="236"/>
      <c r="C14" s="9" t="s">
        <v>398</v>
      </c>
      <c r="D14" s="1" t="s">
        <v>327</v>
      </c>
      <c r="E14" s="7" t="s">
        <v>337</v>
      </c>
      <c r="F14" s="10" t="s">
        <v>338</v>
      </c>
    </row>
    <row r="15" spans="2:6" ht="14" thickBot="1" x14ac:dyDescent="0.2">
      <c r="B15" s="237"/>
      <c r="C15" s="8">
        <v>46</v>
      </c>
      <c r="D15" s="2">
        <v>96</v>
      </c>
      <c r="E15" s="6">
        <v>97</v>
      </c>
      <c r="F15" s="3">
        <v>145</v>
      </c>
    </row>
    <row r="16" spans="2:6" x14ac:dyDescent="0.15">
      <c r="B16" s="235" t="s">
        <v>254</v>
      </c>
      <c r="C16" s="9">
        <v>56</v>
      </c>
      <c r="D16" s="1">
        <v>79</v>
      </c>
      <c r="E16" s="7">
        <v>86</v>
      </c>
      <c r="F16" s="10">
        <v>142</v>
      </c>
    </row>
    <row r="17" spans="2:6" x14ac:dyDescent="0.15">
      <c r="B17" s="236"/>
      <c r="C17" s="9" t="s">
        <v>399</v>
      </c>
      <c r="D17" s="1" t="s">
        <v>328</v>
      </c>
      <c r="E17" s="7" t="s">
        <v>351</v>
      </c>
      <c r="F17" s="10" t="s">
        <v>352</v>
      </c>
    </row>
    <row r="18" spans="2:6" ht="14" thickBot="1" x14ac:dyDescent="0.2">
      <c r="B18" s="237"/>
      <c r="C18" s="9">
        <v>47</v>
      </c>
      <c r="D18" s="1">
        <v>80</v>
      </c>
      <c r="E18" s="7">
        <v>98</v>
      </c>
      <c r="F18" s="10">
        <v>146</v>
      </c>
    </row>
    <row r="19" spans="2:6" x14ac:dyDescent="0.15">
      <c r="B19" s="235" t="s">
        <v>255</v>
      </c>
      <c r="C19" s="11">
        <v>50</v>
      </c>
      <c r="D19" s="12">
        <v>50</v>
      </c>
      <c r="E19" s="14">
        <v>50</v>
      </c>
      <c r="F19" s="13">
        <v>50</v>
      </c>
    </row>
    <row r="20" spans="2:6" x14ac:dyDescent="0.15">
      <c r="B20" s="236"/>
      <c r="C20" s="9" t="s">
        <v>400</v>
      </c>
      <c r="D20" s="1" t="s">
        <v>329</v>
      </c>
      <c r="E20" s="7" t="s">
        <v>353</v>
      </c>
      <c r="F20" s="10" t="s">
        <v>354</v>
      </c>
    </row>
    <row r="21" spans="2:6" ht="14" thickBot="1" x14ac:dyDescent="0.2">
      <c r="B21" s="237"/>
      <c r="C21" s="8">
        <v>99</v>
      </c>
      <c r="D21" s="2">
        <v>147</v>
      </c>
      <c r="E21" s="6">
        <v>99</v>
      </c>
      <c r="F21" s="3">
        <v>147</v>
      </c>
    </row>
    <row r="22" spans="2:6" x14ac:dyDescent="0.15">
      <c r="B22" s="235" t="s">
        <v>346</v>
      </c>
      <c r="C22" s="9" t="s">
        <v>323</v>
      </c>
      <c r="D22" s="1">
        <v>91</v>
      </c>
      <c r="E22" s="7" t="s">
        <v>355</v>
      </c>
      <c r="F22" s="10">
        <v>91</v>
      </c>
    </row>
    <row r="23" spans="2:6" x14ac:dyDescent="0.15">
      <c r="B23" s="236"/>
      <c r="C23" s="9" t="s">
        <v>406</v>
      </c>
      <c r="D23" s="1" t="s">
        <v>330</v>
      </c>
      <c r="E23" s="7" t="s">
        <v>356</v>
      </c>
      <c r="F23" s="10" t="s">
        <v>357</v>
      </c>
    </row>
    <row r="24" spans="2:6" ht="14" thickBot="1" x14ac:dyDescent="0.2">
      <c r="B24" s="237"/>
      <c r="C24" s="8">
        <v>116</v>
      </c>
      <c r="D24" s="2">
        <v>8</v>
      </c>
      <c r="E24" s="6">
        <v>116</v>
      </c>
      <c r="F24" s="3">
        <v>8</v>
      </c>
    </row>
  </sheetData>
  <mergeCells count="8">
    <mergeCell ref="B19:B21"/>
    <mergeCell ref="B22:B24"/>
    <mergeCell ref="C2:F2"/>
    <mergeCell ref="B4:B6"/>
    <mergeCell ref="B7:B9"/>
    <mergeCell ref="B10:B12"/>
    <mergeCell ref="B13:B15"/>
    <mergeCell ref="B16:B18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4"/>
  <sheetViews>
    <sheetView showGridLines="0" workbookViewId="0">
      <selection activeCell="C4" sqref="C4:D100"/>
    </sheetView>
  </sheetViews>
  <sheetFormatPr baseColWidth="10" defaultRowHeight="13" x14ac:dyDescent="0.15"/>
  <cols>
    <col min="4" max="4" width="5.6640625" customWidth="1"/>
    <col min="6" max="6" width="5.6640625" customWidth="1"/>
    <col min="8" max="8" width="5.6640625" customWidth="1"/>
    <col min="10" max="10" width="5.6640625" customWidth="1"/>
  </cols>
  <sheetData>
    <row r="1" spans="2:10" ht="14" thickBot="1" x14ac:dyDescent="0.2"/>
    <row r="2" spans="2:10" x14ac:dyDescent="0.15">
      <c r="B2" s="26"/>
      <c r="C2" s="238" t="s">
        <v>238</v>
      </c>
      <c r="D2" s="239"/>
      <c r="E2" s="239"/>
      <c r="F2" s="239"/>
      <c r="G2" s="239"/>
      <c r="H2" s="239"/>
      <c r="I2" s="239"/>
      <c r="J2" s="240"/>
    </row>
    <row r="3" spans="2:10" ht="14" thickBot="1" x14ac:dyDescent="0.2">
      <c r="B3" s="27"/>
      <c r="C3" s="251" t="s">
        <v>61</v>
      </c>
      <c r="D3" s="242"/>
      <c r="E3" s="243" t="s">
        <v>62</v>
      </c>
      <c r="F3" s="242"/>
      <c r="G3" s="243" t="s">
        <v>63</v>
      </c>
      <c r="H3" s="242"/>
      <c r="I3" s="243" t="s">
        <v>64</v>
      </c>
      <c r="J3" s="244"/>
    </row>
    <row r="4" spans="2:10" x14ac:dyDescent="0.15">
      <c r="B4" s="236" t="s">
        <v>407</v>
      </c>
      <c r="E4" s="12"/>
      <c r="F4" s="12"/>
      <c r="G4" s="12"/>
      <c r="H4" s="12"/>
      <c r="I4" s="14"/>
      <c r="J4" s="13"/>
    </row>
    <row r="5" spans="2:10" x14ac:dyDescent="0.15">
      <c r="B5" s="236"/>
      <c r="E5" s="1"/>
      <c r="F5" s="45"/>
      <c r="G5" s="1"/>
      <c r="H5" s="45"/>
      <c r="I5" s="7"/>
      <c r="J5" s="10"/>
    </row>
    <row r="6" spans="2:10" ht="14" thickBot="1" x14ac:dyDescent="0.2">
      <c r="B6" s="237"/>
      <c r="E6" s="6"/>
      <c r="F6" s="46"/>
      <c r="G6" s="6"/>
      <c r="H6" s="46"/>
      <c r="I6" s="6"/>
      <c r="J6" s="3"/>
    </row>
    <row r="7" spans="2:10" x14ac:dyDescent="0.15">
      <c r="B7" s="235" t="s">
        <v>408</v>
      </c>
      <c r="E7" s="14"/>
      <c r="F7" s="14"/>
      <c r="I7" s="14"/>
      <c r="J7" s="13"/>
    </row>
    <row r="8" spans="2:10" x14ac:dyDescent="0.15">
      <c r="B8" s="236"/>
      <c r="E8" s="1"/>
      <c r="F8" s="45"/>
      <c r="I8" s="7"/>
      <c r="J8" s="10"/>
    </row>
    <row r="9" spans="2:10" ht="14" thickBot="1" x14ac:dyDescent="0.2">
      <c r="B9" s="237"/>
      <c r="E9" s="6"/>
      <c r="F9" s="46"/>
      <c r="I9" s="6"/>
      <c r="J9" s="3"/>
    </row>
    <row r="10" spans="2:10" x14ac:dyDescent="0.15">
      <c r="B10" s="235" t="s">
        <v>252</v>
      </c>
      <c r="E10" s="1"/>
      <c r="F10" s="1"/>
      <c r="I10" s="7"/>
      <c r="J10" s="10"/>
    </row>
    <row r="11" spans="2:10" x14ac:dyDescent="0.15">
      <c r="B11" s="236"/>
      <c r="E11" s="1"/>
      <c r="F11" s="1"/>
      <c r="I11" s="7"/>
      <c r="J11" s="54"/>
    </row>
    <row r="12" spans="2:10" ht="14" thickBot="1" x14ac:dyDescent="0.2">
      <c r="B12" s="237"/>
      <c r="E12" s="7"/>
      <c r="F12" s="7"/>
      <c r="I12" s="7"/>
      <c r="J12" s="54"/>
    </row>
    <row r="13" spans="2:10" x14ac:dyDescent="0.15">
      <c r="B13" s="235" t="s">
        <v>253</v>
      </c>
      <c r="E13" s="12"/>
      <c r="F13" s="12"/>
      <c r="I13" s="14"/>
      <c r="J13" s="13"/>
    </row>
    <row r="14" spans="2:10" x14ac:dyDescent="0.15">
      <c r="B14" s="236"/>
      <c r="E14" s="1"/>
      <c r="F14" s="45"/>
      <c r="I14" s="7"/>
      <c r="J14" s="54"/>
    </row>
    <row r="15" spans="2:10" ht="14" thickBot="1" x14ac:dyDescent="0.2">
      <c r="B15" s="237"/>
      <c r="E15" s="6"/>
      <c r="F15" s="46"/>
      <c r="I15" s="6"/>
      <c r="J15" s="55"/>
    </row>
    <row r="16" spans="2:10" x14ac:dyDescent="0.15">
      <c r="B16" s="235" t="s">
        <v>254</v>
      </c>
      <c r="E16" s="1"/>
      <c r="F16" s="1"/>
      <c r="I16" s="7"/>
      <c r="J16" s="10"/>
    </row>
    <row r="17" spans="2:10" x14ac:dyDescent="0.15">
      <c r="B17" s="236"/>
      <c r="E17" s="1"/>
      <c r="F17" s="1"/>
      <c r="I17" s="7"/>
      <c r="J17" s="10"/>
    </row>
    <row r="18" spans="2:10" ht="14" thickBot="1" x14ac:dyDescent="0.2">
      <c r="B18" s="237"/>
      <c r="E18" s="7"/>
      <c r="F18" s="7"/>
      <c r="I18" s="7"/>
      <c r="J18" s="10"/>
    </row>
    <row r="19" spans="2:10" x14ac:dyDescent="0.15">
      <c r="B19" s="235" t="s">
        <v>255</v>
      </c>
      <c r="E19" s="12"/>
      <c r="F19" s="12"/>
      <c r="I19" s="14"/>
      <c r="J19" s="13"/>
    </row>
    <row r="20" spans="2:10" x14ac:dyDescent="0.15">
      <c r="B20" s="236"/>
      <c r="E20" s="1"/>
      <c r="F20" s="1"/>
      <c r="I20" s="7"/>
      <c r="J20" s="10"/>
    </row>
    <row r="21" spans="2:10" ht="14" thickBot="1" x14ac:dyDescent="0.2">
      <c r="B21" s="237"/>
      <c r="E21" s="6"/>
      <c r="F21" s="6"/>
      <c r="I21" s="6"/>
      <c r="J21" s="3"/>
    </row>
    <row r="22" spans="2:10" x14ac:dyDescent="0.15">
      <c r="B22" s="235" t="s">
        <v>346</v>
      </c>
      <c r="E22" s="1"/>
      <c r="F22" s="1"/>
      <c r="I22" s="7"/>
      <c r="J22" s="10"/>
    </row>
    <row r="23" spans="2:10" x14ac:dyDescent="0.15">
      <c r="B23" s="236"/>
      <c r="E23" s="1"/>
      <c r="F23" s="1"/>
      <c r="I23" s="7"/>
      <c r="J23" s="54"/>
    </row>
    <row r="24" spans="2:10" ht="14" thickBot="1" x14ac:dyDescent="0.2">
      <c r="B24" s="237"/>
      <c r="E24" s="6"/>
      <c r="F24" s="6"/>
      <c r="I24" s="6"/>
      <c r="J24" s="55"/>
    </row>
  </sheetData>
  <mergeCells count="12">
    <mergeCell ref="C2:J2"/>
    <mergeCell ref="B10:B12"/>
    <mergeCell ref="B13:B15"/>
    <mergeCell ref="B16:B18"/>
    <mergeCell ref="B19:B21"/>
    <mergeCell ref="I3:J3"/>
    <mergeCell ref="B22:B24"/>
    <mergeCell ref="B7:B9"/>
    <mergeCell ref="C3:D3"/>
    <mergeCell ref="E3:F3"/>
    <mergeCell ref="G3:H3"/>
    <mergeCell ref="B4:B6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47"/>
  <sheetViews>
    <sheetView showGridLines="0" topLeftCell="A21" workbookViewId="0">
      <selection activeCell="C16" sqref="C16:D47"/>
    </sheetView>
  </sheetViews>
  <sheetFormatPr baseColWidth="10" defaultRowHeight="13" x14ac:dyDescent="0.15"/>
  <cols>
    <col min="4" max="4" width="6" bestFit="1" customWidth="1"/>
    <col min="6" max="6" width="6" bestFit="1" customWidth="1"/>
    <col min="8" max="8" width="6" bestFit="1" customWidth="1"/>
    <col min="10" max="10" width="6.33203125" bestFit="1" customWidth="1"/>
  </cols>
  <sheetData>
    <row r="1" spans="2:10" ht="14" thickBot="1" x14ac:dyDescent="0.2"/>
    <row r="2" spans="2:10" x14ac:dyDescent="0.15">
      <c r="B2" s="26"/>
      <c r="C2" s="238" t="s">
        <v>180</v>
      </c>
      <c r="D2" s="239"/>
      <c r="E2" s="239"/>
      <c r="F2" s="239"/>
      <c r="G2" s="239"/>
      <c r="H2" s="239"/>
      <c r="I2" s="239"/>
      <c r="J2" s="240"/>
    </row>
    <row r="3" spans="2:10" ht="14" thickBot="1" x14ac:dyDescent="0.2">
      <c r="B3" s="27"/>
      <c r="C3" s="251" t="s">
        <v>240</v>
      </c>
      <c r="D3" s="242"/>
      <c r="E3" s="243" t="s">
        <v>273</v>
      </c>
      <c r="F3" s="242"/>
      <c r="G3" s="243" t="s">
        <v>274</v>
      </c>
      <c r="H3" s="242"/>
      <c r="I3" s="243" t="s">
        <v>275</v>
      </c>
      <c r="J3" s="244"/>
    </row>
    <row r="4" spans="2:10" x14ac:dyDescent="0.15">
      <c r="B4" s="236" t="s">
        <v>381</v>
      </c>
      <c r="C4" s="14"/>
      <c r="D4" s="12"/>
      <c r="E4" s="12"/>
      <c r="F4" s="12"/>
      <c r="G4" s="12"/>
      <c r="H4" s="12"/>
      <c r="I4" s="14"/>
      <c r="J4" s="13"/>
    </row>
    <row r="5" spans="2:10" x14ac:dyDescent="0.15">
      <c r="B5" s="236"/>
      <c r="C5" s="7"/>
      <c r="D5" s="45"/>
      <c r="E5" s="1"/>
      <c r="F5" s="45"/>
      <c r="G5" s="1"/>
      <c r="H5" s="45"/>
      <c r="I5" s="7"/>
      <c r="J5" s="10"/>
    </row>
    <row r="6" spans="2:10" ht="14" thickBot="1" x14ac:dyDescent="0.2">
      <c r="B6" s="252"/>
      <c r="C6" s="6"/>
      <c r="D6" s="46"/>
      <c r="E6" s="6"/>
      <c r="F6" s="46"/>
      <c r="G6" s="6"/>
      <c r="H6" s="46"/>
      <c r="I6" s="6"/>
      <c r="J6" s="3"/>
    </row>
    <row r="7" spans="2:10" x14ac:dyDescent="0.15">
      <c r="B7" s="235" t="s">
        <v>359</v>
      </c>
      <c r="C7" s="14"/>
      <c r="D7" s="52"/>
      <c r="E7" s="14"/>
      <c r="F7" s="14"/>
      <c r="G7" s="14"/>
      <c r="H7" s="14"/>
      <c r="I7" s="14"/>
      <c r="J7" s="13"/>
    </row>
    <row r="8" spans="2:10" x14ac:dyDescent="0.15">
      <c r="B8" s="236"/>
      <c r="C8" s="7"/>
      <c r="D8" s="53"/>
      <c r="E8" s="1"/>
      <c r="F8" s="45"/>
      <c r="G8" s="1"/>
      <c r="H8" s="45"/>
      <c r="I8" s="7"/>
      <c r="J8" s="10"/>
    </row>
    <row r="9" spans="2:10" ht="14" thickBot="1" x14ac:dyDescent="0.2">
      <c r="B9" s="237"/>
      <c r="C9" s="6"/>
      <c r="D9" s="6"/>
      <c r="E9" s="6"/>
      <c r="F9" s="46"/>
      <c r="G9" s="6"/>
      <c r="H9" s="46"/>
      <c r="I9" s="6"/>
      <c r="J9" s="3"/>
    </row>
    <row r="10" spans="2:10" x14ac:dyDescent="0.15">
      <c r="B10" s="235" t="s">
        <v>371</v>
      </c>
      <c r="C10" s="7"/>
      <c r="D10" s="7"/>
      <c r="G10" s="1"/>
      <c r="H10" s="1"/>
    </row>
    <row r="11" spans="2:10" x14ac:dyDescent="0.15">
      <c r="B11" s="236"/>
      <c r="C11" s="7"/>
      <c r="D11" s="7"/>
      <c r="G11" s="1"/>
      <c r="H11" s="1"/>
    </row>
    <row r="12" spans="2:10" ht="14" thickBot="1" x14ac:dyDescent="0.2">
      <c r="B12" s="237"/>
      <c r="C12" s="7"/>
      <c r="D12" s="7"/>
      <c r="G12" s="7"/>
      <c r="H12" s="7"/>
    </row>
    <row r="13" spans="2:10" x14ac:dyDescent="0.15">
      <c r="B13" s="235" t="s">
        <v>373</v>
      </c>
      <c r="C13" s="14"/>
      <c r="D13" s="14"/>
      <c r="G13" s="12"/>
      <c r="H13" s="12"/>
    </row>
    <row r="14" spans="2:10" x14ac:dyDescent="0.15">
      <c r="B14" s="236"/>
      <c r="C14" s="7"/>
      <c r="D14" s="7"/>
      <c r="G14" s="1"/>
      <c r="H14" s="45"/>
    </row>
    <row r="15" spans="2:10" ht="14" thickBot="1" x14ac:dyDescent="0.2">
      <c r="B15" s="237"/>
      <c r="C15" s="6"/>
      <c r="D15" s="6"/>
      <c r="G15" s="6"/>
      <c r="H15" s="46"/>
    </row>
    <row r="16" spans="2:10" x14ac:dyDescent="0.15">
      <c r="B16" s="235" t="s">
        <v>375</v>
      </c>
      <c r="C16" s="7">
        <v>26</v>
      </c>
      <c r="D16" s="7" t="s">
        <v>204</v>
      </c>
      <c r="G16" s="1"/>
      <c r="H16" s="1"/>
    </row>
    <row r="17" spans="2:10" x14ac:dyDescent="0.15">
      <c r="B17" s="236"/>
      <c r="C17" s="7">
        <v>26</v>
      </c>
      <c r="D17" s="7" t="s">
        <v>205</v>
      </c>
      <c r="G17" s="1"/>
      <c r="H17" s="1"/>
    </row>
    <row r="18" spans="2:10" ht="14" thickBot="1" x14ac:dyDescent="0.2">
      <c r="B18" s="237"/>
      <c r="C18" s="1">
        <v>44</v>
      </c>
      <c r="D18" s="1" t="s">
        <v>267</v>
      </c>
      <c r="G18" s="7"/>
      <c r="H18" s="7"/>
    </row>
    <row r="19" spans="2:10" x14ac:dyDescent="0.15">
      <c r="B19" s="235" t="s">
        <v>377</v>
      </c>
      <c r="C19" s="1">
        <v>44</v>
      </c>
      <c r="D19" s="1" t="s">
        <v>268</v>
      </c>
    </row>
    <row r="20" spans="2:10" ht="14" thickBot="1" x14ac:dyDescent="0.2">
      <c r="B20" s="236"/>
      <c r="C20" s="7"/>
      <c r="D20" s="7"/>
    </row>
    <row r="21" spans="2:10" ht="14" thickBot="1" x14ac:dyDescent="0.2">
      <c r="B21" s="237"/>
      <c r="C21" s="12">
        <v>48</v>
      </c>
      <c r="D21" s="12" t="s">
        <v>272</v>
      </c>
      <c r="E21" s="6"/>
      <c r="F21" s="6"/>
    </row>
    <row r="22" spans="2:10" x14ac:dyDescent="0.15">
      <c r="B22" s="235" t="s">
        <v>379</v>
      </c>
      <c r="C22" s="1">
        <v>48</v>
      </c>
      <c r="D22" s="45" t="s">
        <v>232</v>
      </c>
      <c r="E22" s="1"/>
      <c r="F22" s="1"/>
    </row>
    <row r="23" spans="2:10" ht="14" thickBot="1" x14ac:dyDescent="0.2">
      <c r="B23" s="236"/>
      <c r="C23" s="6"/>
      <c r="D23" s="46"/>
      <c r="E23" s="1"/>
      <c r="F23" s="1"/>
    </row>
    <row r="24" spans="2:10" ht="14" thickBot="1" x14ac:dyDescent="0.2">
      <c r="B24" s="237"/>
      <c r="C24" s="1"/>
      <c r="D24" s="1"/>
      <c r="E24" s="6"/>
      <c r="F24" s="6"/>
      <c r="G24" s="6"/>
      <c r="H24" s="6"/>
      <c r="I24" s="6"/>
      <c r="J24" s="3"/>
    </row>
    <row r="25" spans="2:10" x14ac:dyDescent="0.15">
      <c r="C25" s="1"/>
      <c r="D25" s="1"/>
    </row>
    <row r="26" spans="2:10" ht="14" thickBot="1" x14ac:dyDescent="0.2">
      <c r="C26" s="7"/>
      <c r="D26" s="7"/>
    </row>
    <row r="27" spans="2:10" x14ac:dyDescent="0.15">
      <c r="C27" s="12">
        <v>71</v>
      </c>
      <c r="D27" s="12" t="s">
        <v>269</v>
      </c>
    </row>
    <row r="28" spans="2:10" ht="14" thickBot="1" x14ac:dyDescent="0.2">
      <c r="C28" s="1">
        <v>71</v>
      </c>
      <c r="D28" s="1" t="s">
        <v>5</v>
      </c>
    </row>
    <row r="29" spans="2:10" x14ac:dyDescent="0.15">
      <c r="C29" s="12">
        <v>131</v>
      </c>
      <c r="D29" s="12" t="s">
        <v>32</v>
      </c>
    </row>
    <row r="30" spans="2:10" x14ac:dyDescent="0.15">
      <c r="C30" s="1">
        <v>131</v>
      </c>
      <c r="D30" s="1" t="s">
        <v>268</v>
      </c>
    </row>
    <row r="31" spans="2:10" ht="14" thickBot="1" x14ac:dyDescent="0.2">
      <c r="C31" s="6"/>
      <c r="D31" s="6"/>
    </row>
    <row r="32" spans="2:10" x14ac:dyDescent="0.15">
      <c r="C32" s="1">
        <v>134</v>
      </c>
      <c r="D32" s="1" t="s">
        <v>226</v>
      </c>
    </row>
    <row r="33" spans="3:4" x14ac:dyDescent="0.15">
      <c r="C33" s="1">
        <v>134</v>
      </c>
      <c r="D33" s="1" t="s">
        <v>37</v>
      </c>
    </row>
    <row r="34" spans="3:4" x14ac:dyDescent="0.15">
      <c r="C34" s="7">
        <v>135</v>
      </c>
      <c r="D34" s="10" t="s">
        <v>383</v>
      </c>
    </row>
    <row r="35" spans="3:4" x14ac:dyDescent="0.15">
      <c r="C35" s="7">
        <v>135</v>
      </c>
      <c r="D35" s="10" t="s">
        <v>158</v>
      </c>
    </row>
    <row r="36" spans="3:4" ht="14" thickBot="1" x14ac:dyDescent="0.2">
      <c r="C36" s="7"/>
      <c r="D36" s="10"/>
    </row>
    <row r="37" spans="3:4" x14ac:dyDescent="0.15">
      <c r="C37" s="14"/>
      <c r="D37" s="13"/>
    </row>
    <row r="38" spans="3:4" x14ac:dyDescent="0.15">
      <c r="C38" s="7"/>
      <c r="D38" s="10"/>
    </row>
    <row r="39" spans="3:4" ht="14" thickBot="1" x14ac:dyDescent="0.2">
      <c r="C39" s="6"/>
      <c r="D39" s="3"/>
    </row>
    <row r="40" spans="3:4" x14ac:dyDescent="0.15">
      <c r="C40" s="7">
        <v>138</v>
      </c>
      <c r="D40" s="10" t="s">
        <v>159</v>
      </c>
    </row>
    <row r="41" spans="3:4" x14ac:dyDescent="0.15">
      <c r="C41" s="7">
        <v>138</v>
      </c>
      <c r="D41" s="10" t="s">
        <v>160</v>
      </c>
    </row>
    <row r="42" spans="3:4" ht="14" thickBot="1" x14ac:dyDescent="0.2">
      <c r="C42" s="7"/>
      <c r="D42" s="10"/>
    </row>
    <row r="43" spans="3:4" x14ac:dyDescent="0.15">
      <c r="C43" s="14">
        <v>143</v>
      </c>
      <c r="D43" s="13" t="s">
        <v>161</v>
      </c>
    </row>
    <row r="44" spans="3:4" x14ac:dyDescent="0.15">
      <c r="C44" s="7">
        <v>143</v>
      </c>
      <c r="D44" s="10" t="s">
        <v>202</v>
      </c>
    </row>
    <row r="45" spans="3:4" ht="14" thickBot="1" x14ac:dyDescent="0.2">
      <c r="C45" s="6"/>
      <c r="D45" s="3"/>
    </row>
    <row r="46" spans="3:4" x14ac:dyDescent="0.15">
      <c r="C46" s="7">
        <v>144</v>
      </c>
      <c r="D46" s="10" t="s">
        <v>200</v>
      </c>
    </row>
    <row r="47" spans="3:4" x14ac:dyDescent="0.15">
      <c r="C47" s="7">
        <v>144</v>
      </c>
      <c r="D47" s="10" t="s">
        <v>203</v>
      </c>
    </row>
  </sheetData>
  <mergeCells count="12">
    <mergeCell ref="C2:J2"/>
    <mergeCell ref="B13:B15"/>
    <mergeCell ref="B16:B18"/>
    <mergeCell ref="B19:B21"/>
    <mergeCell ref="B22:B24"/>
    <mergeCell ref="B4:B6"/>
    <mergeCell ref="B10:B12"/>
    <mergeCell ref="C3:D3"/>
    <mergeCell ref="E3:F3"/>
    <mergeCell ref="G3:H3"/>
    <mergeCell ref="I3:J3"/>
    <mergeCell ref="B7:B9"/>
  </mergeCells>
  <phoneticPr fontId="1" type="noConversion"/>
  <pageMargins left="0.75" right="0.75" top="1" bottom="1" header="0.5" footer="0.5"/>
  <ignoredErrors>
    <ignoredError sqref="D17" twoDigitTextYear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24"/>
  <sheetViews>
    <sheetView workbookViewId="0">
      <selection activeCell="G31" sqref="G31"/>
    </sheetView>
  </sheetViews>
  <sheetFormatPr baseColWidth="10" defaultRowHeight="13" x14ac:dyDescent="0.15"/>
  <cols>
    <col min="4" max="4" width="0" hidden="1" customWidth="1"/>
  </cols>
  <sheetData>
    <row r="1" spans="2:4" ht="14" thickBot="1" x14ac:dyDescent="0.2"/>
    <row r="2" spans="2:4" x14ac:dyDescent="0.15">
      <c r="B2" s="257"/>
      <c r="C2" s="253" t="s">
        <v>358</v>
      </c>
      <c r="D2" s="59" t="s">
        <v>358</v>
      </c>
    </row>
    <row r="3" spans="2:4" ht="14" thickBot="1" x14ac:dyDescent="0.2">
      <c r="B3" s="258"/>
      <c r="C3" s="237"/>
      <c r="D3" s="60"/>
    </row>
    <row r="4" spans="2:4" x14ac:dyDescent="0.15">
      <c r="B4" s="236" t="s">
        <v>359</v>
      </c>
      <c r="C4" s="253">
        <v>90</v>
      </c>
      <c r="D4" s="61"/>
    </row>
    <row r="5" spans="2:4" x14ac:dyDescent="0.15">
      <c r="B5" s="236"/>
      <c r="C5" s="254"/>
      <c r="D5" s="62"/>
    </row>
    <row r="6" spans="2:4" ht="14" thickBot="1" x14ac:dyDescent="0.2">
      <c r="B6" s="237"/>
      <c r="C6" s="255"/>
      <c r="D6" s="57"/>
    </row>
    <row r="7" spans="2:4" x14ac:dyDescent="0.15">
      <c r="B7" s="235" t="s">
        <v>371</v>
      </c>
      <c r="C7" s="253">
        <v>85</v>
      </c>
      <c r="D7" s="58"/>
    </row>
    <row r="8" spans="2:4" x14ac:dyDescent="0.15">
      <c r="B8" s="236"/>
      <c r="C8" s="254"/>
      <c r="D8" s="62"/>
    </row>
    <row r="9" spans="2:4" ht="14" thickBot="1" x14ac:dyDescent="0.2">
      <c r="B9" s="237"/>
      <c r="C9" s="255"/>
      <c r="D9" s="57"/>
    </row>
    <row r="10" spans="2:4" x14ac:dyDescent="0.15">
      <c r="B10" s="235" t="s">
        <v>373</v>
      </c>
      <c r="C10" s="253">
        <v>142</v>
      </c>
      <c r="D10" s="62"/>
    </row>
    <row r="11" spans="2:4" x14ac:dyDescent="0.15">
      <c r="B11" s="236"/>
      <c r="C11" s="254"/>
      <c r="D11" s="62"/>
    </row>
    <row r="12" spans="2:4" ht="14" thickBot="1" x14ac:dyDescent="0.2">
      <c r="B12" s="237"/>
      <c r="C12" s="255"/>
      <c r="D12" s="62"/>
    </row>
    <row r="13" spans="2:4" x14ac:dyDescent="0.15">
      <c r="B13" s="235" t="s">
        <v>375</v>
      </c>
      <c r="C13" s="65">
        <v>30</v>
      </c>
      <c r="D13" s="63" t="s">
        <v>382</v>
      </c>
    </row>
    <row r="14" spans="2:4" x14ac:dyDescent="0.15">
      <c r="B14" s="236"/>
      <c r="C14" s="256">
        <v>129</v>
      </c>
      <c r="D14" s="62"/>
    </row>
    <row r="15" spans="2:4" ht="14" thickBot="1" x14ac:dyDescent="0.2">
      <c r="B15" s="237"/>
      <c r="C15" s="255"/>
      <c r="D15" s="57"/>
    </row>
    <row r="16" spans="2:4" x14ac:dyDescent="0.15">
      <c r="B16" s="235" t="s">
        <v>377</v>
      </c>
      <c r="C16" s="253">
        <v>15</v>
      </c>
      <c r="D16" s="62"/>
    </row>
    <row r="17" spans="2:4" x14ac:dyDescent="0.15">
      <c r="B17" s="236"/>
      <c r="C17" s="254"/>
      <c r="D17" s="62"/>
    </row>
    <row r="18" spans="2:4" ht="14" thickBot="1" x14ac:dyDescent="0.2">
      <c r="B18" s="237"/>
      <c r="C18" s="255"/>
      <c r="D18" s="62"/>
    </row>
    <row r="19" spans="2:4" x14ac:dyDescent="0.15">
      <c r="B19" s="235" t="s">
        <v>379</v>
      </c>
      <c r="C19" s="253">
        <v>87</v>
      </c>
      <c r="D19" s="58"/>
    </row>
    <row r="20" spans="2:4" x14ac:dyDescent="0.15">
      <c r="B20" s="236"/>
      <c r="C20" s="254"/>
      <c r="D20" s="62"/>
    </row>
    <row r="21" spans="2:4" ht="14" thickBot="1" x14ac:dyDescent="0.2">
      <c r="B21" s="237"/>
      <c r="C21" s="255"/>
      <c r="D21" s="57"/>
    </row>
    <row r="22" spans="2:4" x14ac:dyDescent="0.15">
      <c r="B22" s="235" t="s">
        <v>381</v>
      </c>
      <c r="C22" s="64">
        <v>4</v>
      </c>
      <c r="D22" s="62"/>
    </row>
    <row r="23" spans="2:4" x14ac:dyDescent="0.15">
      <c r="B23" s="236"/>
      <c r="C23" s="256">
        <v>133</v>
      </c>
      <c r="D23" s="62"/>
    </row>
    <row r="24" spans="2:4" ht="14" thickBot="1" x14ac:dyDescent="0.2">
      <c r="B24" s="252"/>
      <c r="C24" s="255"/>
      <c r="D24" s="57"/>
    </row>
  </sheetData>
  <mergeCells count="16">
    <mergeCell ref="C19:C21"/>
    <mergeCell ref="C23:C24"/>
    <mergeCell ref="C2:C3"/>
    <mergeCell ref="B2:B3"/>
    <mergeCell ref="C4:C6"/>
    <mergeCell ref="C7:C9"/>
    <mergeCell ref="C10:C12"/>
    <mergeCell ref="C14:C15"/>
    <mergeCell ref="C16:C18"/>
    <mergeCell ref="B19:B21"/>
    <mergeCell ref="B22:B24"/>
    <mergeCell ref="B4:B6"/>
    <mergeCell ref="B7:B9"/>
    <mergeCell ref="B10:B12"/>
    <mergeCell ref="B13:B15"/>
    <mergeCell ref="B16:B18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27" sqref="I27"/>
    </sheetView>
  </sheetViews>
  <sheetFormatPr baseColWidth="10" defaultRowHeight="13" x14ac:dyDescent="0.15"/>
  <cols>
    <col min="19" max="19" width="11.83203125" customWidth="1"/>
  </cols>
  <sheetData>
    <row r="1" spans="1:31" x14ac:dyDescent="0.15">
      <c r="A1" s="4"/>
      <c r="B1" s="259" t="s">
        <v>393</v>
      </c>
      <c r="C1" s="246"/>
      <c r="D1" s="246"/>
      <c r="E1" s="247"/>
      <c r="F1" s="14" t="s">
        <v>394</v>
      </c>
      <c r="G1" s="14" t="s">
        <v>180</v>
      </c>
      <c r="H1" s="14" t="s">
        <v>180</v>
      </c>
      <c r="I1" s="14" t="s">
        <v>180</v>
      </c>
      <c r="J1" s="14" t="s">
        <v>180</v>
      </c>
      <c r="K1" s="14" t="s">
        <v>180</v>
      </c>
      <c r="L1" s="14" t="s">
        <v>180</v>
      </c>
      <c r="M1" s="14" t="s">
        <v>180</v>
      </c>
      <c r="N1" s="14" t="s">
        <v>60</v>
      </c>
      <c r="O1" s="14" t="s">
        <v>60</v>
      </c>
      <c r="P1" s="14" t="s">
        <v>60</v>
      </c>
      <c r="Q1" s="14" t="s">
        <v>60</v>
      </c>
      <c r="R1" s="14" t="s">
        <v>60</v>
      </c>
      <c r="S1" s="14" t="s">
        <v>60</v>
      </c>
      <c r="T1" s="14" t="s">
        <v>60</v>
      </c>
      <c r="U1" s="14" t="s">
        <v>60</v>
      </c>
      <c r="V1" s="43" t="s">
        <v>65</v>
      </c>
      <c r="W1" s="43" t="s">
        <v>65</v>
      </c>
      <c r="X1" s="43" t="s">
        <v>65</v>
      </c>
      <c r="Y1" s="43" t="s">
        <v>65</v>
      </c>
      <c r="Z1" s="43" t="s">
        <v>65</v>
      </c>
      <c r="AA1" s="43" t="s">
        <v>65</v>
      </c>
      <c r="AB1" s="43" t="s">
        <v>65</v>
      </c>
      <c r="AC1" s="43" t="s">
        <v>65</v>
      </c>
      <c r="AD1" t="s">
        <v>66</v>
      </c>
      <c r="AE1" t="s">
        <v>66</v>
      </c>
    </row>
    <row r="2" spans="1:31" ht="14" thickBot="1" x14ac:dyDescent="0.2">
      <c r="A2" s="5"/>
      <c r="B2" s="8" t="s">
        <v>389</v>
      </c>
      <c r="C2" s="2" t="s">
        <v>390</v>
      </c>
      <c r="D2" s="2" t="s">
        <v>391</v>
      </c>
      <c r="E2" s="3" t="s">
        <v>392</v>
      </c>
      <c r="F2" s="251" t="s">
        <v>389</v>
      </c>
      <c r="G2" s="242"/>
      <c r="H2" s="243" t="s">
        <v>390</v>
      </c>
      <c r="I2" s="242"/>
      <c r="J2" s="243" t="s">
        <v>391</v>
      </c>
      <c r="K2" s="242"/>
      <c r="L2" s="243" t="s">
        <v>392</v>
      </c>
      <c r="M2" s="244"/>
      <c r="N2" s="251" t="s">
        <v>389</v>
      </c>
      <c r="O2" s="242"/>
      <c r="P2" s="243" t="s">
        <v>390</v>
      </c>
      <c r="Q2" s="242"/>
      <c r="R2" s="243" t="s">
        <v>391</v>
      </c>
      <c r="S2" s="242"/>
      <c r="T2" s="243" t="s">
        <v>392</v>
      </c>
      <c r="U2" s="244"/>
      <c r="V2" s="251" t="s">
        <v>61</v>
      </c>
      <c r="W2" s="242"/>
      <c r="X2" s="243" t="s">
        <v>62</v>
      </c>
      <c r="Y2" s="242"/>
      <c r="Z2" s="243" t="s">
        <v>63</v>
      </c>
      <c r="AA2" s="242"/>
      <c r="AB2" s="243" t="s">
        <v>64</v>
      </c>
      <c r="AC2" s="244"/>
    </row>
    <row r="3" spans="1:31" x14ac:dyDescent="0.15">
      <c r="A3" s="248" t="s">
        <v>407</v>
      </c>
      <c r="B3" s="11">
        <v>62</v>
      </c>
      <c r="C3" s="12">
        <v>117</v>
      </c>
      <c r="D3" s="14">
        <v>92</v>
      </c>
      <c r="E3" s="13">
        <v>117</v>
      </c>
      <c r="F3" s="172">
        <v>144</v>
      </c>
      <c r="G3" s="173" t="s">
        <v>199</v>
      </c>
      <c r="H3" s="174">
        <v>109</v>
      </c>
      <c r="I3" s="174"/>
      <c r="J3" s="174">
        <v>109</v>
      </c>
      <c r="K3" s="174"/>
      <c r="L3" s="173">
        <v>109</v>
      </c>
      <c r="M3" s="175"/>
      <c r="N3" s="14">
        <v>1</v>
      </c>
      <c r="O3" s="14"/>
      <c r="P3" s="12">
        <v>103</v>
      </c>
      <c r="Q3" s="44" t="s">
        <v>226</v>
      </c>
      <c r="R3" s="49">
        <v>144</v>
      </c>
      <c r="S3" s="49" t="s">
        <v>9</v>
      </c>
      <c r="T3" s="12">
        <v>23</v>
      </c>
      <c r="U3" s="13"/>
      <c r="V3" s="14">
        <v>117</v>
      </c>
      <c r="W3" s="12" t="s">
        <v>15</v>
      </c>
      <c r="X3" s="12">
        <v>22</v>
      </c>
      <c r="Y3" s="12"/>
      <c r="Z3" s="12">
        <v>117</v>
      </c>
      <c r="AA3" s="12" t="s">
        <v>15</v>
      </c>
      <c r="AB3" s="14">
        <v>22</v>
      </c>
      <c r="AC3" s="13"/>
      <c r="AD3" s="14">
        <v>90</v>
      </c>
      <c r="AE3" s="13"/>
    </row>
    <row r="4" spans="1:31" x14ac:dyDescent="0.15">
      <c r="A4" s="249"/>
      <c r="B4" s="9" t="s">
        <v>395</v>
      </c>
      <c r="C4" s="1" t="s">
        <v>257</v>
      </c>
      <c r="D4" s="7" t="s">
        <v>332</v>
      </c>
      <c r="E4" s="10" t="s">
        <v>324</v>
      </c>
      <c r="F4" s="176">
        <v>144</v>
      </c>
      <c r="G4" s="177" t="s">
        <v>201</v>
      </c>
      <c r="H4" s="178" t="s">
        <v>231</v>
      </c>
      <c r="I4" s="178"/>
      <c r="J4" s="178">
        <v>110</v>
      </c>
      <c r="K4" s="178"/>
      <c r="L4" s="177">
        <v>111</v>
      </c>
      <c r="M4" s="179"/>
      <c r="N4" s="7">
        <v>2</v>
      </c>
      <c r="O4" s="7"/>
      <c r="P4" s="1">
        <v>103</v>
      </c>
      <c r="Q4" s="45" t="s">
        <v>227</v>
      </c>
      <c r="R4" s="50">
        <v>144</v>
      </c>
      <c r="S4" s="50" t="s">
        <v>13</v>
      </c>
      <c r="T4" s="1">
        <v>65</v>
      </c>
      <c r="U4" s="54" t="s">
        <v>206</v>
      </c>
      <c r="V4" s="7">
        <v>117</v>
      </c>
      <c r="W4" s="45" t="s">
        <v>16</v>
      </c>
      <c r="X4" s="1">
        <v>75</v>
      </c>
      <c r="Y4" s="45" t="s">
        <v>229</v>
      </c>
      <c r="Z4" s="1">
        <v>117</v>
      </c>
      <c r="AA4" s="45" t="s">
        <v>16</v>
      </c>
      <c r="AB4" s="7">
        <v>75</v>
      </c>
      <c r="AC4" s="10" t="s">
        <v>229</v>
      </c>
      <c r="AD4" s="7"/>
      <c r="AE4" s="10"/>
    </row>
    <row r="5" spans="1:31" ht="14" thickBot="1" x14ac:dyDescent="0.2">
      <c r="A5" s="250"/>
      <c r="B5" s="8">
        <v>149</v>
      </c>
      <c r="C5" s="2">
        <v>150</v>
      </c>
      <c r="D5" s="6">
        <v>148</v>
      </c>
      <c r="E5" s="3">
        <v>150</v>
      </c>
      <c r="F5" s="180" t="s">
        <v>258</v>
      </c>
      <c r="G5" s="181"/>
      <c r="H5" s="182" t="s">
        <v>259</v>
      </c>
      <c r="I5" s="181"/>
      <c r="J5" s="182" t="s">
        <v>259</v>
      </c>
      <c r="K5" s="182"/>
      <c r="L5" s="181" t="s">
        <v>370</v>
      </c>
      <c r="M5" s="183"/>
      <c r="N5" s="6">
        <v>3</v>
      </c>
      <c r="O5" s="6"/>
      <c r="P5" s="2">
        <v>103</v>
      </c>
      <c r="Q5" s="46" t="s">
        <v>228</v>
      </c>
      <c r="R5" s="46">
        <v>144</v>
      </c>
      <c r="S5" s="46" t="s">
        <v>14</v>
      </c>
      <c r="T5" s="2">
        <v>65</v>
      </c>
      <c r="U5" s="55" t="s">
        <v>4</v>
      </c>
      <c r="V5" s="6">
        <v>117</v>
      </c>
      <c r="W5" s="46" t="s">
        <v>17</v>
      </c>
      <c r="X5" s="6">
        <v>75</v>
      </c>
      <c r="Y5" s="46" t="s">
        <v>230</v>
      </c>
      <c r="Z5" s="6">
        <v>117</v>
      </c>
      <c r="AA5" s="46" t="s">
        <v>17</v>
      </c>
      <c r="AB5" s="6">
        <v>75</v>
      </c>
      <c r="AC5" s="3" t="s">
        <v>230</v>
      </c>
      <c r="AD5" s="6"/>
      <c r="AE5" s="3"/>
    </row>
    <row r="6" spans="1:31" x14ac:dyDescent="0.15">
      <c r="A6" s="235" t="s">
        <v>408</v>
      </c>
      <c r="B6" s="11">
        <v>5</v>
      </c>
      <c r="C6" s="12">
        <v>41</v>
      </c>
      <c r="D6" s="14">
        <v>83</v>
      </c>
      <c r="E6" s="13">
        <v>89</v>
      </c>
      <c r="F6" s="172">
        <v>109</v>
      </c>
      <c r="G6" s="173"/>
      <c r="H6" s="174">
        <v>44</v>
      </c>
      <c r="I6" s="184" t="s">
        <v>267</v>
      </c>
      <c r="J6" s="174">
        <v>122</v>
      </c>
      <c r="K6" s="174"/>
      <c r="L6" s="177">
        <v>135</v>
      </c>
      <c r="M6" s="179" t="s">
        <v>383</v>
      </c>
      <c r="N6" s="14">
        <v>6</v>
      </c>
      <c r="O6" s="14"/>
      <c r="P6" s="12">
        <v>30</v>
      </c>
      <c r="Q6" s="47" t="s">
        <v>382</v>
      </c>
      <c r="R6" s="47">
        <v>49</v>
      </c>
      <c r="S6" s="47" t="s">
        <v>204</v>
      </c>
      <c r="T6" s="12">
        <v>72</v>
      </c>
      <c r="U6" s="56" t="s">
        <v>206</v>
      </c>
      <c r="V6" s="14" t="s">
        <v>318</v>
      </c>
      <c r="W6" s="52"/>
      <c r="X6" s="14" t="s">
        <v>211</v>
      </c>
      <c r="Y6" s="14"/>
      <c r="Z6" s="14" t="s">
        <v>217</v>
      </c>
      <c r="AA6" s="14"/>
      <c r="AB6" s="14" t="s">
        <v>222</v>
      </c>
      <c r="AC6" s="13"/>
      <c r="AD6" s="14">
        <v>85</v>
      </c>
      <c r="AE6" s="13"/>
    </row>
    <row r="7" spans="1:31" x14ac:dyDescent="0.15">
      <c r="A7" s="236"/>
      <c r="B7" s="9" t="s">
        <v>396</v>
      </c>
      <c r="C7" s="1" t="s">
        <v>325</v>
      </c>
      <c r="D7" s="7" t="s">
        <v>333</v>
      </c>
      <c r="E7" s="10" t="s">
        <v>334</v>
      </c>
      <c r="F7" s="176">
        <v>110</v>
      </c>
      <c r="G7" s="177"/>
      <c r="H7" s="178">
        <v>44</v>
      </c>
      <c r="I7" s="185" t="s">
        <v>268</v>
      </c>
      <c r="J7" s="178">
        <v>123</v>
      </c>
      <c r="K7" s="178"/>
      <c r="L7" s="177">
        <v>135</v>
      </c>
      <c r="M7" s="179" t="s">
        <v>158</v>
      </c>
      <c r="N7" s="7" t="s">
        <v>286</v>
      </c>
      <c r="O7" s="48" t="s">
        <v>284</v>
      </c>
      <c r="P7" s="1">
        <v>30</v>
      </c>
      <c r="Q7" s="45" t="s">
        <v>264</v>
      </c>
      <c r="R7" s="50">
        <v>49</v>
      </c>
      <c r="S7" s="50" t="s">
        <v>19</v>
      </c>
      <c r="T7" s="1">
        <v>72</v>
      </c>
      <c r="U7" s="54" t="s">
        <v>4</v>
      </c>
      <c r="V7" s="7">
        <v>7</v>
      </c>
      <c r="W7" s="78" t="s">
        <v>267</v>
      </c>
      <c r="X7" s="1">
        <v>39</v>
      </c>
      <c r="Y7" s="45" t="s">
        <v>382</v>
      </c>
      <c r="Z7" s="1">
        <v>70</v>
      </c>
      <c r="AA7" s="45" t="s">
        <v>21</v>
      </c>
      <c r="AB7" s="7">
        <v>81</v>
      </c>
      <c r="AC7" s="10"/>
      <c r="AD7" s="7"/>
      <c r="AE7" s="10"/>
    </row>
    <row r="8" spans="1:31" ht="14" thickBot="1" x14ac:dyDescent="0.2">
      <c r="A8" s="237"/>
      <c r="B8" s="8">
        <v>28</v>
      </c>
      <c r="C8" s="2" t="s">
        <v>331</v>
      </c>
      <c r="D8" s="6">
        <v>95</v>
      </c>
      <c r="E8" s="3">
        <v>134</v>
      </c>
      <c r="F8" s="180" t="s">
        <v>259</v>
      </c>
      <c r="G8" s="181"/>
      <c r="H8" s="182" t="s">
        <v>260</v>
      </c>
      <c r="I8" s="181"/>
      <c r="J8" s="182" t="s">
        <v>260</v>
      </c>
      <c r="K8" s="182"/>
      <c r="L8" s="177" t="s">
        <v>372</v>
      </c>
      <c r="M8" s="179"/>
      <c r="N8" s="6" t="s">
        <v>286</v>
      </c>
      <c r="O8" s="46" t="s">
        <v>285</v>
      </c>
      <c r="P8" s="2">
        <v>30</v>
      </c>
      <c r="Q8" s="46" t="s">
        <v>265</v>
      </c>
      <c r="R8" s="46">
        <v>49</v>
      </c>
      <c r="S8" s="46" t="s">
        <v>20</v>
      </c>
      <c r="T8" s="2">
        <v>72</v>
      </c>
      <c r="U8" s="55" t="s">
        <v>70</v>
      </c>
      <c r="V8" s="6">
        <v>7</v>
      </c>
      <c r="W8" s="46" t="s">
        <v>315</v>
      </c>
      <c r="X8" s="6">
        <v>39</v>
      </c>
      <c r="Y8" s="46" t="s">
        <v>266</v>
      </c>
      <c r="Z8" s="6">
        <v>70</v>
      </c>
      <c r="AA8" s="46" t="s">
        <v>22</v>
      </c>
      <c r="AB8" s="6">
        <v>119</v>
      </c>
      <c r="AC8" s="3"/>
      <c r="AD8" s="6"/>
      <c r="AE8" s="3"/>
    </row>
    <row r="9" spans="1:31" x14ac:dyDescent="0.15">
      <c r="A9" s="235" t="s">
        <v>252</v>
      </c>
      <c r="B9" s="9">
        <v>23</v>
      </c>
      <c r="C9" s="1">
        <v>42</v>
      </c>
      <c r="D9" s="7">
        <v>84</v>
      </c>
      <c r="E9" s="10">
        <v>100</v>
      </c>
      <c r="F9" s="176">
        <v>16</v>
      </c>
      <c r="G9" s="177"/>
      <c r="H9" s="178">
        <v>48</v>
      </c>
      <c r="I9" s="185" t="s">
        <v>272</v>
      </c>
      <c r="J9" s="178">
        <v>124</v>
      </c>
      <c r="K9" s="178"/>
      <c r="L9" s="173">
        <v>136</v>
      </c>
      <c r="M9" s="175"/>
      <c r="N9" s="7" t="s">
        <v>287</v>
      </c>
      <c r="O9" s="48" t="s">
        <v>288</v>
      </c>
      <c r="P9" s="1">
        <v>36</v>
      </c>
      <c r="Q9" s="45" t="s">
        <v>150</v>
      </c>
      <c r="R9" s="50">
        <v>67</v>
      </c>
      <c r="S9" s="50" t="s">
        <v>152</v>
      </c>
      <c r="T9" s="1">
        <v>101</v>
      </c>
      <c r="U9" s="54" t="s">
        <v>71</v>
      </c>
      <c r="V9" s="7" t="s">
        <v>225</v>
      </c>
      <c r="W9" s="7"/>
      <c r="X9" s="1" t="s">
        <v>212</v>
      </c>
      <c r="Y9" s="1"/>
      <c r="Z9" s="1" t="s">
        <v>218</v>
      </c>
      <c r="AA9" s="1"/>
      <c r="AB9" s="7" t="s">
        <v>223</v>
      </c>
      <c r="AC9" s="10"/>
      <c r="AD9" s="7">
        <v>142</v>
      </c>
      <c r="AE9" s="10"/>
    </row>
    <row r="10" spans="1:31" x14ac:dyDescent="0.15">
      <c r="A10" s="236"/>
      <c r="B10" s="9" t="s">
        <v>397</v>
      </c>
      <c r="C10" s="1" t="s">
        <v>326</v>
      </c>
      <c r="D10" s="7" t="s">
        <v>335</v>
      </c>
      <c r="E10" s="10" t="s">
        <v>336</v>
      </c>
      <c r="F10" s="176">
        <v>16</v>
      </c>
      <c r="G10" s="177"/>
      <c r="H10" s="178">
        <v>48</v>
      </c>
      <c r="I10" s="185" t="s">
        <v>232</v>
      </c>
      <c r="J10" s="178">
        <v>130</v>
      </c>
      <c r="K10" s="178"/>
      <c r="L10" s="177">
        <v>137</v>
      </c>
      <c r="M10" s="179"/>
      <c r="N10" s="7" t="s">
        <v>287</v>
      </c>
      <c r="O10" s="48" t="s">
        <v>151</v>
      </c>
      <c r="P10" s="1">
        <v>36</v>
      </c>
      <c r="Q10" s="45" t="s">
        <v>270</v>
      </c>
      <c r="R10" s="50">
        <v>67</v>
      </c>
      <c r="S10" s="50" t="s">
        <v>24</v>
      </c>
      <c r="T10" s="1">
        <v>101</v>
      </c>
      <c r="U10" s="54" t="s">
        <v>72</v>
      </c>
      <c r="V10" s="7">
        <v>12</v>
      </c>
      <c r="W10" s="7"/>
      <c r="X10" s="1">
        <v>52</v>
      </c>
      <c r="Y10" s="1"/>
      <c r="Z10" s="1">
        <v>73</v>
      </c>
      <c r="AA10" s="1" t="s">
        <v>383</v>
      </c>
      <c r="AB10" s="7">
        <v>87</v>
      </c>
      <c r="AC10" s="54" t="s">
        <v>312</v>
      </c>
      <c r="AD10" s="7"/>
      <c r="AE10" s="10"/>
    </row>
    <row r="11" spans="1:31" ht="14" thickBot="1" x14ac:dyDescent="0.2">
      <c r="A11" s="237"/>
      <c r="B11" s="9">
        <v>32</v>
      </c>
      <c r="C11" s="1">
        <v>64</v>
      </c>
      <c r="D11" s="7">
        <v>66</v>
      </c>
      <c r="E11" s="10">
        <v>143</v>
      </c>
      <c r="F11" s="176" t="s">
        <v>260</v>
      </c>
      <c r="G11" s="177"/>
      <c r="H11" s="178" t="s">
        <v>261</v>
      </c>
      <c r="I11" s="177"/>
      <c r="J11" s="178" t="s">
        <v>261</v>
      </c>
      <c r="K11" s="178"/>
      <c r="L11" s="181" t="s">
        <v>374</v>
      </c>
      <c r="M11" s="183"/>
      <c r="N11" s="7">
        <v>11</v>
      </c>
      <c r="O11" s="7"/>
      <c r="P11" s="1">
        <v>36</v>
      </c>
      <c r="Q11" s="48" t="s">
        <v>271</v>
      </c>
      <c r="R11" s="48">
        <v>67</v>
      </c>
      <c r="S11" s="48" t="s">
        <v>25</v>
      </c>
      <c r="T11" s="1">
        <v>101</v>
      </c>
      <c r="U11" s="54" t="s">
        <v>73</v>
      </c>
      <c r="V11" s="7">
        <v>13</v>
      </c>
      <c r="W11" s="7"/>
      <c r="X11" s="7">
        <v>53</v>
      </c>
      <c r="Y11" s="7"/>
      <c r="Z11" s="7">
        <v>73</v>
      </c>
      <c r="AA11" s="7" t="s">
        <v>26</v>
      </c>
      <c r="AB11" s="7">
        <v>87</v>
      </c>
      <c r="AC11" s="54" t="s">
        <v>311</v>
      </c>
      <c r="AD11" s="7"/>
      <c r="AE11" s="10"/>
    </row>
    <row r="12" spans="1:31" x14ac:dyDescent="0.15">
      <c r="A12" s="235" t="s">
        <v>253</v>
      </c>
      <c r="B12" s="11">
        <v>35</v>
      </c>
      <c r="C12" s="12">
        <v>76</v>
      </c>
      <c r="D12" s="14">
        <v>85</v>
      </c>
      <c r="E12" s="13">
        <v>107</v>
      </c>
      <c r="F12" s="172">
        <v>19</v>
      </c>
      <c r="G12" s="173"/>
      <c r="H12" s="174">
        <v>61</v>
      </c>
      <c r="I12" s="174"/>
      <c r="J12" s="174">
        <v>125</v>
      </c>
      <c r="K12" s="174"/>
      <c r="L12" s="177">
        <v>138</v>
      </c>
      <c r="M12" s="179" t="s">
        <v>301</v>
      </c>
      <c r="N12" s="14">
        <v>17</v>
      </c>
      <c r="O12" s="47" t="s">
        <v>152</v>
      </c>
      <c r="P12" s="12">
        <v>38</v>
      </c>
      <c r="Q12" s="44" t="s">
        <v>229</v>
      </c>
      <c r="R12" s="49">
        <v>88</v>
      </c>
      <c r="S12" s="49" t="s">
        <v>27</v>
      </c>
      <c r="T12" s="12">
        <v>102</v>
      </c>
      <c r="U12" s="56" t="s">
        <v>74</v>
      </c>
      <c r="V12" s="14" t="s">
        <v>411</v>
      </c>
      <c r="W12" s="14"/>
      <c r="X12" s="12" t="s">
        <v>213</v>
      </c>
      <c r="Y12" s="12"/>
      <c r="Z12" s="12" t="s">
        <v>219</v>
      </c>
      <c r="AA12" s="12"/>
      <c r="AB12" s="14" t="s">
        <v>224</v>
      </c>
      <c r="AC12" s="13"/>
      <c r="AD12" s="14">
        <v>30</v>
      </c>
      <c r="AE12" s="13" t="s">
        <v>405</v>
      </c>
    </row>
    <row r="13" spans="1:31" x14ac:dyDescent="0.15">
      <c r="A13" s="236"/>
      <c r="B13" s="9" t="s">
        <v>398</v>
      </c>
      <c r="C13" s="1" t="s">
        <v>327</v>
      </c>
      <c r="D13" s="7" t="s">
        <v>337</v>
      </c>
      <c r="E13" s="10" t="s">
        <v>338</v>
      </c>
      <c r="F13" s="176">
        <v>20</v>
      </c>
      <c r="G13" s="177"/>
      <c r="H13" s="178">
        <v>66</v>
      </c>
      <c r="I13" s="178"/>
      <c r="J13" s="178">
        <v>126</v>
      </c>
      <c r="K13" s="178"/>
      <c r="L13" s="177">
        <v>138</v>
      </c>
      <c r="M13" s="179" t="s">
        <v>160</v>
      </c>
      <c r="N13" s="7">
        <v>17</v>
      </c>
      <c r="O13" s="48" t="s">
        <v>153</v>
      </c>
      <c r="P13" s="1">
        <v>38</v>
      </c>
      <c r="Q13" s="45" t="s">
        <v>233</v>
      </c>
      <c r="R13" s="50">
        <v>88</v>
      </c>
      <c r="S13" s="50" t="s">
        <v>28</v>
      </c>
      <c r="T13" s="1">
        <v>102</v>
      </c>
      <c r="U13" s="54" t="s">
        <v>75</v>
      </c>
      <c r="V13" s="7">
        <v>16</v>
      </c>
      <c r="W13" s="48" t="s">
        <v>74</v>
      </c>
      <c r="X13" s="1">
        <v>54</v>
      </c>
      <c r="Y13" s="45" t="s">
        <v>235</v>
      </c>
      <c r="Z13" s="1">
        <v>69</v>
      </c>
      <c r="AA13" s="45"/>
      <c r="AB13" s="7">
        <v>93</v>
      </c>
      <c r="AC13" s="54" t="s">
        <v>269</v>
      </c>
      <c r="AD13" s="7">
        <v>129</v>
      </c>
      <c r="AE13" s="10"/>
    </row>
    <row r="14" spans="1:31" ht="14" thickBot="1" x14ac:dyDescent="0.2">
      <c r="A14" s="237"/>
      <c r="B14" s="8">
        <v>46</v>
      </c>
      <c r="C14" s="2">
        <v>96</v>
      </c>
      <c r="D14" s="6">
        <v>97</v>
      </c>
      <c r="E14" s="3">
        <v>145</v>
      </c>
      <c r="F14" s="180" t="s">
        <v>261</v>
      </c>
      <c r="G14" s="181"/>
      <c r="H14" s="182" t="s">
        <v>262</v>
      </c>
      <c r="I14" s="181"/>
      <c r="J14" s="182" t="s">
        <v>262</v>
      </c>
      <c r="K14" s="182"/>
      <c r="L14" s="177" t="s">
        <v>376</v>
      </c>
      <c r="M14" s="179"/>
      <c r="N14" s="6">
        <v>17</v>
      </c>
      <c r="O14" s="46" t="s">
        <v>154</v>
      </c>
      <c r="P14" s="2">
        <v>51</v>
      </c>
      <c r="Q14" s="6"/>
      <c r="R14" s="46">
        <v>88</v>
      </c>
      <c r="S14" s="46" t="s">
        <v>29</v>
      </c>
      <c r="T14" s="2">
        <v>102</v>
      </c>
      <c r="U14" s="55" t="s">
        <v>76</v>
      </c>
      <c r="V14" s="6">
        <v>16</v>
      </c>
      <c r="W14" s="46" t="s">
        <v>156</v>
      </c>
      <c r="X14" s="6">
        <v>54</v>
      </c>
      <c r="Y14" s="46" t="s">
        <v>234</v>
      </c>
      <c r="Z14" s="6">
        <v>74</v>
      </c>
      <c r="AA14" s="46"/>
      <c r="AB14" s="6">
        <v>93</v>
      </c>
      <c r="AC14" s="55" t="s">
        <v>314</v>
      </c>
      <c r="AD14" s="6"/>
      <c r="AE14" s="3"/>
    </row>
    <row r="15" spans="1:31" x14ac:dyDescent="0.15">
      <c r="A15" s="235" t="s">
        <v>254</v>
      </c>
      <c r="B15" s="9">
        <v>56</v>
      </c>
      <c r="C15" s="1">
        <v>79</v>
      </c>
      <c r="D15" s="7">
        <v>86</v>
      </c>
      <c r="E15" s="10">
        <v>142</v>
      </c>
      <c r="F15" s="176">
        <v>24</v>
      </c>
      <c r="G15" s="177"/>
      <c r="H15" s="178">
        <v>71</v>
      </c>
      <c r="I15" s="185" t="s">
        <v>269</v>
      </c>
      <c r="J15" s="178">
        <v>131</v>
      </c>
      <c r="K15" s="178" t="s">
        <v>32</v>
      </c>
      <c r="L15" s="173">
        <v>143</v>
      </c>
      <c r="M15" s="175" t="s">
        <v>161</v>
      </c>
      <c r="N15" s="7">
        <v>17</v>
      </c>
      <c r="O15" s="48" t="s">
        <v>157</v>
      </c>
      <c r="P15" s="1">
        <v>43</v>
      </c>
      <c r="Q15" s="45" t="s">
        <v>382</v>
      </c>
      <c r="R15" s="50">
        <v>88</v>
      </c>
      <c r="S15" s="66" t="s">
        <v>30</v>
      </c>
      <c r="T15" s="1">
        <v>43</v>
      </c>
      <c r="U15" s="54" t="s">
        <v>382</v>
      </c>
      <c r="V15" s="7" t="s">
        <v>207</v>
      </c>
      <c r="W15" s="7"/>
      <c r="X15" s="1" t="s">
        <v>214</v>
      </c>
      <c r="Y15" s="1"/>
      <c r="Z15" s="1" t="s">
        <v>220</v>
      </c>
      <c r="AA15" s="1"/>
      <c r="AB15" s="7" t="s">
        <v>348</v>
      </c>
      <c r="AC15" s="10"/>
      <c r="AD15" s="7">
        <v>15</v>
      </c>
      <c r="AE15" s="10"/>
    </row>
    <row r="16" spans="1:31" x14ac:dyDescent="0.15">
      <c r="A16" s="236"/>
      <c r="B16" s="9" t="s">
        <v>399</v>
      </c>
      <c r="C16" s="1" t="s">
        <v>328</v>
      </c>
      <c r="D16" s="7" t="s">
        <v>351</v>
      </c>
      <c r="E16" s="10" t="s">
        <v>352</v>
      </c>
      <c r="F16" s="176">
        <v>24</v>
      </c>
      <c r="G16" s="177"/>
      <c r="H16" s="178">
        <v>71</v>
      </c>
      <c r="I16" s="185" t="s">
        <v>5</v>
      </c>
      <c r="J16" s="178">
        <v>131</v>
      </c>
      <c r="K16" s="178" t="s">
        <v>268</v>
      </c>
      <c r="L16" s="177">
        <v>143</v>
      </c>
      <c r="M16" s="179" t="s">
        <v>202</v>
      </c>
      <c r="N16" s="7">
        <v>17</v>
      </c>
      <c r="O16" s="48" t="s">
        <v>298</v>
      </c>
      <c r="P16" s="1">
        <v>43</v>
      </c>
      <c r="Q16" s="45" t="s">
        <v>236</v>
      </c>
      <c r="R16" s="50">
        <v>88</v>
      </c>
      <c r="S16" s="50" t="s">
        <v>31</v>
      </c>
      <c r="T16" s="1">
        <v>43</v>
      </c>
      <c r="U16" s="54" t="s">
        <v>236</v>
      </c>
      <c r="V16" s="7">
        <v>24</v>
      </c>
      <c r="W16" s="48" t="s">
        <v>74</v>
      </c>
      <c r="X16" s="1">
        <v>55</v>
      </c>
      <c r="Y16" s="1"/>
      <c r="Z16" s="1">
        <v>78</v>
      </c>
      <c r="AA16" s="1"/>
      <c r="AB16" s="7">
        <v>127</v>
      </c>
      <c r="AC16" s="10"/>
      <c r="AD16" s="7"/>
      <c r="AE16" s="10"/>
    </row>
    <row r="17" spans="1:31" ht="14" thickBot="1" x14ac:dyDescent="0.2">
      <c r="A17" s="237"/>
      <c r="B17" s="9">
        <v>47</v>
      </c>
      <c r="C17" s="1">
        <v>80</v>
      </c>
      <c r="D17" s="7">
        <v>98</v>
      </c>
      <c r="E17" s="10">
        <v>146</v>
      </c>
      <c r="F17" s="176" t="s">
        <v>262</v>
      </c>
      <c r="G17" s="177"/>
      <c r="H17" s="178" t="s">
        <v>263</v>
      </c>
      <c r="I17" s="177"/>
      <c r="J17" s="178" t="s">
        <v>263</v>
      </c>
      <c r="K17" s="178"/>
      <c r="L17" s="181" t="s">
        <v>378</v>
      </c>
      <c r="M17" s="183"/>
      <c r="N17" s="7">
        <v>17</v>
      </c>
      <c r="O17" s="48" t="s">
        <v>299</v>
      </c>
      <c r="P17" s="1">
        <v>43</v>
      </c>
      <c r="Q17" s="48" t="s">
        <v>278</v>
      </c>
      <c r="R17" s="7">
        <v>89</v>
      </c>
      <c r="S17" s="7"/>
      <c r="T17" s="1">
        <v>43</v>
      </c>
      <c r="U17" s="54" t="s">
        <v>278</v>
      </c>
      <c r="V17" s="7">
        <v>24</v>
      </c>
      <c r="W17" s="48" t="s">
        <v>300</v>
      </c>
      <c r="X17" s="7">
        <v>56</v>
      </c>
      <c r="Y17" s="7"/>
      <c r="Z17" s="7">
        <v>79</v>
      </c>
      <c r="AA17" s="7"/>
      <c r="AB17" s="7">
        <v>128</v>
      </c>
      <c r="AC17" s="10"/>
      <c r="AD17" s="7"/>
      <c r="AE17" s="10"/>
    </row>
    <row r="18" spans="1:31" x14ac:dyDescent="0.15">
      <c r="A18" s="235" t="s">
        <v>255</v>
      </c>
      <c r="B18" s="11">
        <v>50</v>
      </c>
      <c r="C18" s="12">
        <v>50</v>
      </c>
      <c r="D18" s="14">
        <v>50</v>
      </c>
      <c r="E18" s="13">
        <v>50</v>
      </c>
      <c r="F18" s="172">
        <v>26</v>
      </c>
      <c r="G18" s="173"/>
      <c r="H18" s="174">
        <v>114</v>
      </c>
      <c r="I18" s="174"/>
      <c r="J18" s="174">
        <v>134</v>
      </c>
      <c r="K18" s="174" t="s">
        <v>226</v>
      </c>
      <c r="L18" s="173"/>
      <c r="M18" s="175"/>
      <c r="N18" s="14">
        <v>34</v>
      </c>
      <c r="O18" s="47" t="s">
        <v>301</v>
      </c>
      <c r="P18" s="12">
        <v>37</v>
      </c>
      <c r="Q18" s="44" t="s">
        <v>6</v>
      </c>
      <c r="R18" s="49">
        <v>68</v>
      </c>
      <c r="S18" s="49" t="s">
        <v>146</v>
      </c>
      <c r="T18" s="12">
        <v>54</v>
      </c>
      <c r="U18" s="56" t="s">
        <v>279</v>
      </c>
      <c r="V18" s="14" t="s">
        <v>208</v>
      </c>
      <c r="W18" s="14"/>
      <c r="X18" s="12" t="s">
        <v>215</v>
      </c>
      <c r="Y18" s="12"/>
      <c r="Z18" s="12">
        <v>21</v>
      </c>
      <c r="AA18" s="12" t="s">
        <v>290</v>
      </c>
      <c r="AB18" s="14" t="s">
        <v>349</v>
      </c>
      <c r="AC18" s="13"/>
      <c r="AD18" s="14">
        <v>87</v>
      </c>
      <c r="AE18" s="13"/>
    </row>
    <row r="19" spans="1:31" x14ac:dyDescent="0.15">
      <c r="A19" s="236"/>
      <c r="B19" s="9" t="s">
        <v>400</v>
      </c>
      <c r="C19" s="1" t="s">
        <v>329</v>
      </c>
      <c r="D19" s="7" t="s">
        <v>353</v>
      </c>
      <c r="E19" s="10" t="s">
        <v>354</v>
      </c>
      <c r="F19" s="176">
        <v>26</v>
      </c>
      <c r="G19" s="177"/>
      <c r="H19" s="178">
        <v>120</v>
      </c>
      <c r="I19" s="178"/>
      <c r="J19" s="178">
        <v>134</v>
      </c>
      <c r="K19" s="178" t="s">
        <v>37</v>
      </c>
      <c r="L19" s="177"/>
      <c r="M19" s="179"/>
      <c r="N19" s="7">
        <v>34</v>
      </c>
      <c r="O19" s="48" t="s">
        <v>280</v>
      </c>
      <c r="P19" s="1">
        <v>37</v>
      </c>
      <c r="Q19" s="45" t="s">
        <v>7</v>
      </c>
      <c r="R19" s="50">
        <v>68</v>
      </c>
      <c r="S19" s="50" t="s">
        <v>33</v>
      </c>
      <c r="T19" s="1">
        <v>54</v>
      </c>
      <c r="U19" s="54" t="s">
        <v>280</v>
      </c>
      <c r="V19" s="7">
        <v>25</v>
      </c>
      <c r="W19" s="7"/>
      <c r="X19" s="1">
        <v>58</v>
      </c>
      <c r="Y19" s="1"/>
      <c r="Z19" s="1">
        <v>21</v>
      </c>
      <c r="AA19" s="1" t="s">
        <v>35</v>
      </c>
      <c r="AB19" s="7">
        <v>132</v>
      </c>
      <c r="AC19" s="10"/>
      <c r="AD19" s="7"/>
      <c r="AE19" s="10"/>
    </row>
    <row r="20" spans="1:31" ht="14" thickBot="1" x14ac:dyDescent="0.2">
      <c r="A20" s="237"/>
      <c r="B20" s="8">
        <v>99</v>
      </c>
      <c r="C20" s="2">
        <v>147</v>
      </c>
      <c r="D20" s="6">
        <v>99</v>
      </c>
      <c r="E20" s="3">
        <v>147</v>
      </c>
      <c r="F20" s="180" t="s">
        <v>263</v>
      </c>
      <c r="G20" s="181"/>
      <c r="H20" s="182" t="s">
        <v>237</v>
      </c>
      <c r="I20" s="181"/>
      <c r="J20" s="182" t="s">
        <v>237</v>
      </c>
      <c r="K20" s="182"/>
      <c r="L20" s="181" t="s">
        <v>237</v>
      </c>
      <c r="M20" s="183"/>
      <c r="N20" s="6">
        <v>34</v>
      </c>
      <c r="O20" s="46" t="s">
        <v>303</v>
      </c>
      <c r="P20" s="2">
        <v>37</v>
      </c>
      <c r="Q20" s="46" t="s">
        <v>8</v>
      </c>
      <c r="R20" s="46">
        <v>68</v>
      </c>
      <c r="S20" s="46" t="s">
        <v>34</v>
      </c>
      <c r="T20" s="2">
        <v>54</v>
      </c>
      <c r="U20" s="55" t="s">
        <v>281</v>
      </c>
      <c r="V20" s="6">
        <v>27</v>
      </c>
      <c r="W20" s="6"/>
      <c r="X20" s="6">
        <v>59</v>
      </c>
      <c r="Y20" s="6"/>
      <c r="Z20" s="6">
        <v>21</v>
      </c>
      <c r="AA20" s="6" t="s">
        <v>36</v>
      </c>
      <c r="AB20" s="6">
        <v>139</v>
      </c>
      <c r="AC20" s="3"/>
      <c r="AD20" s="6"/>
      <c r="AE20" s="3"/>
    </row>
    <row r="21" spans="1:31" x14ac:dyDescent="0.15">
      <c r="A21" s="235" t="s">
        <v>256</v>
      </c>
      <c r="B21" s="9" t="s">
        <v>323</v>
      </c>
      <c r="C21" s="1">
        <v>91</v>
      </c>
      <c r="D21" s="7" t="s">
        <v>355</v>
      </c>
      <c r="E21" s="10">
        <v>91</v>
      </c>
      <c r="F21" s="176">
        <v>31</v>
      </c>
      <c r="G21" s="177"/>
      <c r="H21" s="178">
        <v>112</v>
      </c>
      <c r="I21" s="178"/>
      <c r="J21" s="178">
        <v>121</v>
      </c>
      <c r="K21" s="178"/>
      <c r="L21" s="177"/>
      <c r="M21" s="179"/>
      <c r="N21" s="7">
        <v>130</v>
      </c>
      <c r="O21" s="7"/>
      <c r="P21" s="1">
        <v>135</v>
      </c>
      <c r="Q21" s="45" t="s">
        <v>9</v>
      </c>
      <c r="R21" s="49">
        <v>106</v>
      </c>
      <c r="S21" s="51" t="s">
        <v>409</v>
      </c>
      <c r="T21" s="1">
        <v>49</v>
      </c>
      <c r="U21" s="54" t="s">
        <v>204</v>
      </c>
      <c r="V21" s="7" t="s">
        <v>209</v>
      </c>
      <c r="W21" s="7"/>
      <c r="X21" s="1" t="s">
        <v>216</v>
      </c>
      <c r="Y21" s="1"/>
      <c r="Z21" s="1" t="s">
        <v>221</v>
      </c>
      <c r="AA21" s="1"/>
      <c r="AB21" s="7" t="s">
        <v>350</v>
      </c>
      <c r="AC21" s="10"/>
      <c r="AD21" s="7" t="s">
        <v>404</v>
      </c>
      <c r="AE21" s="10"/>
    </row>
    <row r="22" spans="1:31" x14ac:dyDescent="0.15">
      <c r="A22" s="236"/>
      <c r="B22" s="9" t="s">
        <v>406</v>
      </c>
      <c r="C22" s="1" t="s">
        <v>330</v>
      </c>
      <c r="D22" s="7" t="s">
        <v>356</v>
      </c>
      <c r="E22" s="10" t="s">
        <v>357</v>
      </c>
      <c r="F22" s="176">
        <v>40</v>
      </c>
      <c r="G22" s="177"/>
      <c r="H22" s="178">
        <v>115</v>
      </c>
      <c r="I22" s="178"/>
      <c r="J22" s="178">
        <v>129</v>
      </c>
      <c r="K22" s="178"/>
      <c r="L22" s="177"/>
      <c r="M22" s="179"/>
      <c r="N22" s="7">
        <v>131</v>
      </c>
      <c r="O22" s="48" t="s">
        <v>301</v>
      </c>
      <c r="P22" s="1">
        <v>135</v>
      </c>
      <c r="Q22" s="45" t="s">
        <v>10</v>
      </c>
      <c r="R22" s="50">
        <v>106</v>
      </c>
      <c r="S22" s="50" t="s">
        <v>410</v>
      </c>
      <c r="T22" s="1">
        <v>49</v>
      </c>
      <c r="U22" s="54" t="s">
        <v>282</v>
      </c>
      <c r="V22" s="7">
        <v>33</v>
      </c>
      <c r="W22" s="1" t="s">
        <v>290</v>
      </c>
      <c r="X22" s="1">
        <v>60</v>
      </c>
      <c r="Y22" s="1"/>
      <c r="Z22" s="1">
        <v>33</v>
      </c>
      <c r="AA22" s="1" t="s">
        <v>290</v>
      </c>
      <c r="AB22" s="7">
        <v>44</v>
      </c>
      <c r="AC22" s="54" t="s">
        <v>267</v>
      </c>
      <c r="AD22" s="7">
        <v>133</v>
      </c>
      <c r="AE22" s="10"/>
    </row>
    <row r="23" spans="1:31" ht="14" thickBot="1" x14ac:dyDescent="0.2">
      <c r="A23" s="237"/>
      <c r="B23" s="8">
        <v>116</v>
      </c>
      <c r="C23" s="2">
        <v>8</v>
      </c>
      <c r="D23" s="6">
        <v>116</v>
      </c>
      <c r="E23" s="3">
        <v>8</v>
      </c>
      <c r="F23" s="180" t="s">
        <v>12</v>
      </c>
      <c r="G23" s="181"/>
      <c r="H23" s="182" t="s">
        <v>12</v>
      </c>
      <c r="I23" s="181"/>
      <c r="J23" s="182" t="s">
        <v>12</v>
      </c>
      <c r="K23" s="181"/>
      <c r="L23" s="181" t="s">
        <v>12</v>
      </c>
      <c r="M23" s="183"/>
      <c r="N23" s="6">
        <v>131</v>
      </c>
      <c r="O23" s="46" t="s">
        <v>149</v>
      </c>
      <c r="P23" s="2">
        <v>135</v>
      </c>
      <c r="Q23" s="46" t="s">
        <v>11</v>
      </c>
      <c r="R23" s="46">
        <v>106</v>
      </c>
      <c r="S23" s="46" t="s">
        <v>402</v>
      </c>
      <c r="T23" s="2">
        <v>49</v>
      </c>
      <c r="U23" s="55" t="s">
        <v>283</v>
      </c>
      <c r="V23" s="6">
        <v>33</v>
      </c>
      <c r="W23" s="6" t="s">
        <v>314</v>
      </c>
      <c r="X23" s="6">
        <v>63</v>
      </c>
      <c r="Y23" s="6"/>
      <c r="Z23" s="6">
        <v>33</v>
      </c>
      <c r="AA23" s="6" t="s">
        <v>314</v>
      </c>
      <c r="AB23" s="6">
        <v>44</v>
      </c>
      <c r="AC23" s="55" t="s">
        <v>315</v>
      </c>
      <c r="AD23" s="6"/>
      <c r="AE23" s="3"/>
    </row>
  </sheetData>
  <mergeCells count="20">
    <mergeCell ref="R2:S2"/>
    <mergeCell ref="X2:Y2"/>
    <mergeCell ref="AB2:AC2"/>
    <mergeCell ref="T2:U2"/>
    <mergeCell ref="V2:W2"/>
    <mergeCell ref="Z2:AA2"/>
    <mergeCell ref="A15:A17"/>
    <mergeCell ref="A18:A20"/>
    <mergeCell ref="A21:A23"/>
    <mergeCell ref="B1:E1"/>
    <mergeCell ref="A3:A5"/>
    <mergeCell ref="A6:A8"/>
    <mergeCell ref="A9:A11"/>
    <mergeCell ref="A12:A14"/>
    <mergeCell ref="F2:G2"/>
    <mergeCell ref="P2:Q2"/>
    <mergeCell ref="N2:O2"/>
    <mergeCell ref="H2:I2"/>
    <mergeCell ref="J2:K2"/>
    <mergeCell ref="L2:M2"/>
  </mergeCells>
  <phoneticPr fontId="1" type="noConversion"/>
  <pageMargins left="0.75" right="0.75" top="1" bottom="1" header="0.5" footer="0.5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D23"/>
    </sheetView>
  </sheetViews>
  <sheetFormatPr baseColWidth="10" defaultRowHeight="13" x14ac:dyDescent="0.15"/>
  <cols>
    <col min="19" max="19" width="11.83203125" customWidth="1"/>
  </cols>
  <sheetData>
    <row r="1" spans="1:30" x14ac:dyDescent="0.15">
      <c r="A1" s="4"/>
      <c r="B1" s="259" t="s">
        <v>38</v>
      </c>
      <c r="C1" s="246"/>
      <c r="D1" s="246"/>
      <c r="E1" s="247"/>
      <c r="F1" s="14" t="s">
        <v>39</v>
      </c>
      <c r="G1" s="14" t="s">
        <v>39</v>
      </c>
      <c r="H1" s="14" t="s">
        <v>39</v>
      </c>
      <c r="I1" s="14" t="s">
        <v>39</v>
      </c>
      <c r="J1" s="14" t="s">
        <v>39</v>
      </c>
      <c r="K1" s="14" t="s">
        <v>39</v>
      </c>
      <c r="L1" s="14" t="s">
        <v>39</v>
      </c>
      <c r="M1" s="14" t="s">
        <v>39</v>
      </c>
      <c r="N1" s="14" t="s">
        <v>176</v>
      </c>
      <c r="O1" s="14" t="s">
        <v>176</v>
      </c>
      <c r="P1" s="14" t="s">
        <v>176</v>
      </c>
      <c r="Q1" s="14" t="s">
        <v>176</v>
      </c>
      <c r="R1" s="14" t="s">
        <v>176</v>
      </c>
      <c r="S1" s="14" t="s">
        <v>176</v>
      </c>
      <c r="T1" s="14" t="s">
        <v>176</v>
      </c>
      <c r="U1" s="14" t="s">
        <v>176</v>
      </c>
      <c r="V1" s="43" t="s">
        <v>40</v>
      </c>
      <c r="W1" s="43" t="s">
        <v>40</v>
      </c>
      <c r="X1" s="43" t="s">
        <v>40</v>
      </c>
      <c r="Y1" s="43" t="s">
        <v>40</v>
      </c>
      <c r="Z1" s="43" t="s">
        <v>40</v>
      </c>
      <c r="AA1" s="43" t="s">
        <v>40</v>
      </c>
      <c r="AB1" s="43" t="s">
        <v>40</v>
      </c>
      <c r="AC1" s="43" t="s">
        <v>40</v>
      </c>
      <c r="AD1" s="26" t="s">
        <v>41</v>
      </c>
    </row>
    <row r="2" spans="1:30" ht="14" thickBot="1" x14ac:dyDescent="0.2">
      <c r="A2" s="5"/>
      <c r="B2" s="8" t="s">
        <v>389</v>
      </c>
      <c r="C2" s="2" t="s">
        <v>273</v>
      </c>
      <c r="D2" s="2" t="s">
        <v>274</v>
      </c>
      <c r="E2" s="3" t="s">
        <v>275</v>
      </c>
      <c r="F2" s="251" t="s">
        <v>389</v>
      </c>
      <c r="G2" s="242"/>
      <c r="H2" s="243" t="s">
        <v>42</v>
      </c>
      <c r="I2" s="242"/>
      <c r="J2" s="243" t="s">
        <v>274</v>
      </c>
      <c r="K2" s="242"/>
      <c r="L2" s="243" t="s">
        <v>275</v>
      </c>
      <c r="M2" s="244"/>
      <c r="N2" s="67" t="s">
        <v>389</v>
      </c>
      <c r="O2" s="90" t="s">
        <v>276</v>
      </c>
      <c r="P2" s="20" t="s">
        <v>273</v>
      </c>
      <c r="Q2" s="90" t="s">
        <v>319</v>
      </c>
      <c r="R2" s="20" t="s">
        <v>274</v>
      </c>
      <c r="S2" s="90" t="s">
        <v>320</v>
      </c>
      <c r="T2" s="20" t="s">
        <v>275</v>
      </c>
      <c r="U2" s="91" t="s">
        <v>321</v>
      </c>
      <c r="V2" s="251" t="s">
        <v>61</v>
      </c>
      <c r="W2" s="242"/>
      <c r="X2" s="243" t="s">
        <v>62</v>
      </c>
      <c r="Y2" s="242"/>
      <c r="Z2" s="243" t="s">
        <v>63</v>
      </c>
      <c r="AA2" s="242"/>
      <c r="AB2" s="243" t="s">
        <v>64</v>
      </c>
      <c r="AC2" s="241"/>
      <c r="AD2" s="194"/>
    </row>
    <row r="3" spans="1:30" x14ac:dyDescent="0.15">
      <c r="A3" s="248" t="s">
        <v>407</v>
      </c>
      <c r="B3" s="11">
        <v>92</v>
      </c>
      <c r="C3" s="12">
        <v>117</v>
      </c>
      <c r="D3" s="12">
        <v>92</v>
      </c>
      <c r="E3" s="13">
        <v>117</v>
      </c>
      <c r="F3" s="14">
        <v>109</v>
      </c>
      <c r="G3" s="14"/>
      <c r="H3" s="12">
        <v>109</v>
      </c>
      <c r="I3" s="12"/>
      <c r="J3" s="12">
        <v>109</v>
      </c>
      <c r="K3" s="12"/>
      <c r="L3" s="14">
        <v>109</v>
      </c>
      <c r="M3" s="13"/>
      <c r="N3" s="14">
        <v>1</v>
      </c>
      <c r="O3" s="14">
        <v>65</v>
      </c>
      <c r="P3" s="12">
        <v>12</v>
      </c>
      <c r="Q3" s="44">
        <v>67</v>
      </c>
      <c r="R3" s="49">
        <v>17</v>
      </c>
      <c r="S3" s="49">
        <v>88</v>
      </c>
      <c r="T3" s="12">
        <v>29</v>
      </c>
      <c r="U3" s="13">
        <v>103</v>
      </c>
      <c r="V3" s="14">
        <v>117</v>
      </c>
      <c r="W3" s="12" t="s">
        <v>15</v>
      </c>
      <c r="X3" s="12">
        <v>22</v>
      </c>
      <c r="Y3" s="12"/>
      <c r="Z3" s="12">
        <v>117</v>
      </c>
      <c r="AA3" s="12" t="s">
        <v>15</v>
      </c>
      <c r="AB3" s="14">
        <v>22</v>
      </c>
      <c r="AC3" s="18"/>
      <c r="AD3" s="65">
        <v>90</v>
      </c>
    </row>
    <row r="4" spans="1:30" x14ac:dyDescent="0.15">
      <c r="A4" s="249"/>
      <c r="B4" s="9" t="s">
        <v>395</v>
      </c>
      <c r="C4" s="1" t="s">
        <v>257</v>
      </c>
      <c r="D4" s="1" t="s">
        <v>395</v>
      </c>
      <c r="E4" s="10" t="s">
        <v>257</v>
      </c>
      <c r="F4" s="7">
        <v>110</v>
      </c>
      <c r="G4" s="7"/>
      <c r="H4" s="1">
        <v>112</v>
      </c>
      <c r="I4" s="1"/>
      <c r="J4" s="1" t="s">
        <v>79</v>
      </c>
      <c r="K4" s="1"/>
      <c r="L4" s="7">
        <v>114</v>
      </c>
      <c r="M4" s="10"/>
      <c r="N4" s="7">
        <v>2</v>
      </c>
      <c r="O4" s="7">
        <v>75</v>
      </c>
      <c r="P4" s="1">
        <v>15</v>
      </c>
      <c r="Q4" s="45">
        <v>67</v>
      </c>
      <c r="R4" s="50">
        <v>17</v>
      </c>
      <c r="S4" s="50">
        <v>88</v>
      </c>
      <c r="T4" s="1">
        <v>49</v>
      </c>
      <c r="U4" s="54">
        <v>103</v>
      </c>
      <c r="V4" s="7">
        <v>117</v>
      </c>
      <c r="W4" s="45" t="s">
        <v>16</v>
      </c>
      <c r="X4" s="1">
        <v>75</v>
      </c>
      <c r="Y4" s="45" t="s">
        <v>229</v>
      </c>
      <c r="Z4" s="1">
        <v>117</v>
      </c>
      <c r="AA4" s="45" t="s">
        <v>16</v>
      </c>
      <c r="AB4" s="7">
        <v>75</v>
      </c>
      <c r="AC4" s="19" t="s">
        <v>229</v>
      </c>
      <c r="AD4" s="64"/>
    </row>
    <row r="5" spans="1:30" ht="14" thickBot="1" x14ac:dyDescent="0.2">
      <c r="A5" s="250"/>
      <c r="B5" s="8">
        <v>148</v>
      </c>
      <c r="C5" s="2">
        <v>150</v>
      </c>
      <c r="D5" s="2">
        <v>148</v>
      </c>
      <c r="E5" s="3">
        <v>150</v>
      </c>
      <c r="F5" s="6" t="s">
        <v>259</v>
      </c>
      <c r="G5" s="6"/>
      <c r="H5" s="2" t="s">
        <v>259</v>
      </c>
      <c r="I5" s="6"/>
      <c r="J5" s="2" t="s">
        <v>259</v>
      </c>
      <c r="K5" s="2"/>
      <c r="L5" s="6" t="s">
        <v>259</v>
      </c>
      <c r="M5" s="3"/>
      <c r="N5" s="6">
        <v>3</v>
      </c>
      <c r="O5" s="6">
        <v>75</v>
      </c>
      <c r="P5" s="2">
        <v>23</v>
      </c>
      <c r="Q5" s="46">
        <v>67</v>
      </c>
      <c r="R5" s="46">
        <v>17</v>
      </c>
      <c r="S5" s="46">
        <v>88</v>
      </c>
      <c r="T5" s="2">
        <v>49</v>
      </c>
      <c r="U5" s="55">
        <v>103</v>
      </c>
      <c r="V5" s="6">
        <v>117</v>
      </c>
      <c r="W5" s="46" t="s">
        <v>17</v>
      </c>
      <c r="X5" s="6">
        <v>75</v>
      </c>
      <c r="Y5" s="46" t="s">
        <v>230</v>
      </c>
      <c r="Z5" s="6">
        <v>117</v>
      </c>
      <c r="AA5" s="46" t="s">
        <v>17</v>
      </c>
      <c r="AB5" s="6">
        <v>75</v>
      </c>
      <c r="AC5" s="20" t="s">
        <v>230</v>
      </c>
      <c r="AD5" s="195"/>
    </row>
    <row r="6" spans="1:30" x14ac:dyDescent="0.15">
      <c r="A6" s="235" t="s">
        <v>408</v>
      </c>
      <c r="B6" s="11">
        <v>5</v>
      </c>
      <c r="C6" s="12">
        <v>35</v>
      </c>
      <c r="D6" s="12">
        <v>64</v>
      </c>
      <c r="E6" s="13">
        <v>84</v>
      </c>
      <c r="F6" s="7">
        <v>16</v>
      </c>
      <c r="G6" s="190"/>
      <c r="H6" s="12">
        <v>71</v>
      </c>
      <c r="I6" s="189"/>
      <c r="J6" s="12" t="s">
        <v>81</v>
      </c>
      <c r="K6" s="12"/>
      <c r="L6" s="14">
        <v>136</v>
      </c>
      <c r="M6" s="13"/>
      <c r="N6" s="14">
        <v>6</v>
      </c>
      <c r="O6" s="14"/>
      <c r="P6" s="12">
        <v>34</v>
      </c>
      <c r="Q6" s="47"/>
      <c r="R6" s="47">
        <v>68</v>
      </c>
      <c r="S6" s="47"/>
      <c r="T6" s="12">
        <v>102</v>
      </c>
      <c r="U6" s="56"/>
      <c r="V6" s="11" t="s">
        <v>318</v>
      </c>
      <c r="W6" s="14"/>
      <c r="X6" s="14" t="s">
        <v>130</v>
      </c>
      <c r="Y6" s="14"/>
      <c r="Z6" s="14" t="s">
        <v>216</v>
      </c>
      <c r="AA6" s="14"/>
      <c r="AB6" s="14" t="s">
        <v>222</v>
      </c>
      <c r="AC6" s="18"/>
      <c r="AD6" s="65">
        <v>4</v>
      </c>
    </row>
    <row r="7" spans="1:30" x14ac:dyDescent="0.15">
      <c r="A7" s="236"/>
      <c r="B7" s="9" t="s">
        <v>396</v>
      </c>
      <c r="C7" s="1" t="s">
        <v>43</v>
      </c>
      <c r="D7" s="1" t="s">
        <v>44</v>
      </c>
      <c r="E7" s="10" t="s">
        <v>45</v>
      </c>
      <c r="F7" s="7">
        <v>16</v>
      </c>
      <c r="G7" s="191"/>
      <c r="H7" s="1">
        <v>71</v>
      </c>
      <c r="I7" s="189"/>
      <c r="J7" s="1">
        <v>115</v>
      </c>
      <c r="K7" s="1"/>
      <c r="L7" s="7">
        <v>137</v>
      </c>
      <c r="M7" s="10"/>
      <c r="N7" s="7" t="s">
        <v>195</v>
      </c>
      <c r="O7" s="77"/>
      <c r="P7" s="1">
        <v>34</v>
      </c>
      <c r="Q7" s="45"/>
      <c r="R7" s="50">
        <v>68</v>
      </c>
      <c r="S7" s="50"/>
      <c r="T7" s="1">
        <v>102</v>
      </c>
      <c r="U7" s="54"/>
      <c r="V7" s="9">
        <v>7</v>
      </c>
      <c r="W7" s="78" t="s">
        <v>267</v>
      </c>
      <c r="X7" s="1">
        <v>39</v>
      </c>
      <c r="Y7" s="45" t="s">
        <v>382</v>
      </c>
      <c r="Z7" s="1">
        <v>70</v>
      </c>
      <c r="AA7" s="45" t="s">
        <v>21</v>
      </c>
      <c r="AB7" s="7">
        <v>81</v>
      </c>
      <c r="AC7" s="19"/>
      <c r="AD7" s="64">
        <v>133</v>
      </c>
    </row>
    <row r="8" spans="1:30" ht="14" thickBot="1" x14ac:dyDescent="0.2">
      <c r="A8" s="237"/>
      <c r="B8" s="8">
        <v>91</v>
      </c>
      <c r="C8" s="2" t="s">
        <v>3</v>
      </c>
      <c r="D8" s="2">
        <v>91</v>
      </c>
      <c r="E8" s="3" t="s">
        <v>46</v>
      </c>
      <c r="F8" s="7" t="s">
        <v>260</v>
      </c>
      <c r="G8" s="6"/>
      <c r="H8" s="2" t="s">
        <v>260</v>
      </c>
      <c r="I8" s="6"/>
      <c r="J8" s="2" t="s">
        <v>260</v>
      </c>
      <c r="K8" s="2"/>
      <c r="L8" s="6" t="s">
        <v>260</v>
      </c>
      <c r="M8" s="3"/>
      <c r="N8" s="6" t="s">
        <v>196</v>
      </c>
      <c r="O8" s="6"/>
      <c r="P8" s="2">
        <v>34</v>
      </c>
      <c r="Q8" s="46"/>
      <c r="R8" s="46">
        <v>68</v>
      </c>
      <c r="S8" s="46"/>
      <c r="T8" s="2">
        <v>102</v>
      </c>
      <c r="U8" s="55"/>
      <c r="V8" s="8">
        <v>7</v>
      </c>
      <c r="W8" s="46" t="s">
        <v>315</v>
      </c>
      <c r="X8" s="6">
        <v>39</v>
      </c>
      <c r="Y8" s="46" t="s">
        <v>266</v>
      </c>
      <c r="Z8" s="6">
        <v>70</v>
      </c>
      <c r="AA8" s="46" t="s">
        <v>22</v>
      </c>
      <c r="AB8" s="6">
        <v>119</v>
      </c>
      <c r="AC8" s="20"/>
      <c r="AD8" s="195"/>
    </row>
    <row r="9" spans="1:30" x14ac:dyDescent="0.15">
      <c r="A9" s="235" t="s">
        <v>252</v>
      </c>
      <c r="B9" s="9">
        <v>8</v>
      </c>
      <c r="C9" s="1">
        <v>45</v>
      </c>
      <c r="D9" s="1">
        <v>66</v>
      </c>
      <c r="E9" s="10">
        <v>85</v>
      </c>
      <c r="F9" s="14">
        <v>19</v>
      </c>
      <c r="G9" s="7"/>
      <c r="H9" s="1">
        <v>76</v>
      </c>
      <c r="I9" s="45"/>
      <c r="J9" s="1">
        <v>126</v>
      </c>
      <c r="K9" s="1"/>
      <c r="L9" s="7">
        <v>138</v>
      </c>
      <c r="M9" s="187"/>
      <c r="N9" s="7" t="s">
        <v>197</v>
      </c>
      <c r="O9" s="48"/>
      <c r="P9" s="1">
        <v>36</v>
      </c>
      <c r="Q9" s="45"/>
      <c r="R9" s="50">
        <v>72</v>
      </c>
      <c r="S9" s="50"/>
      <c r="T9" s="1">
        <v>103</v>
      </c>
      <c r="U9" s="54">
        <v>1</v>
      </c>
      <c r="V9" s="11" t="s">
        <v>225</v>
      </c>
      <c r="W9" s="14"/>
      <c r="X9" s="14" t="s">
        <v>131</v>
      </c>
      <c r="Y9" s="12"/>
      <c r="Z9" s="14" t="s">
        <v>217</v>
      </c>
      <c r="AA9" s="12"/>
      <c r="AB9" s="14" t="s">
        <v>223</v>
      </c>
      <c r="AC9" s="18"/>
      <c r="AD9" s="64">
        <v>90</v>
      </c>
    </row>
    <row r="10" spans="1:30" x14ac:dyDescent="0.15">
      <c r="A10" s="236"/>
      <c r="B10" s="9" t="s">
        <v>397</v>
      </c>
      <c r="C10" s="1" t="s">
        <v>47</v>
      </c>
      <c r="D10" s="1" t="s">
        <v>48</v>
      </c>
      <c r="E10" s="10" t="s">
        <v>49</v>
      </c>
      <c r="F10" s="7">
        <v>20</v>
      </c>
      <c r="G10" s="7"/>
      <c r="H10" s="1">
        <v>76</v>
      </c>
      <c r="I10" s="45"/>
      <c r="J10" s="1">
        <v>127</v>
      </c>
      <c r="K10" s="1"/>
      <c r="L10" s="7">
        <v>138</v>
      </c>
      <c r="M10" s="187"/>
      <c r="N10" s="7" t="s">
        <v>197</v>
      </c>
      <c r="O10" s="48"/>
      <c r="P10" s="1">
        <v>36</v>
      </c>
      <c r="Q10" s="45"/>
      <c r="R10" s="50">
        <v>72</v>
      </c>
      <c r="S10" s="50"/>
      <c r="T10" s="1">
        <v>103</v>
      </c>
      <c r="U10" s="54">
        <v>2</v>
      </c>
      <c r="V10" s="9">
        <v>11</v>
      </c>
      <c r="W10" s="7"/>
      <c r="X10" s="1">
        <v>48</v>
      </c>
      <c r="Y10" s="1"/>
      <c r="Z10" s="1">
        <v>73</v>
      </c>
      <c r="AA10" s="1" t="s">
        <v>383</v>
      </c>
      <c r="AB10" s="7">
        <v>87</v>
      </c>
      <c r="AC10" s="50" t="s">
        <v>312</v>
      </c>
      <c r="AD10" s="64"/>
    </row>
    <row r="11" spans="1:30" ht="14" thickBot="1" x14ac:dyDescent="0.2">
      <c r="A11" s="237"/>
      <c r="B11" s="9">
        <v>95</v>
      </c>
      <c r="C11" s="1">
        <v>134</v>
      </c>
      <c r="D11" s="1">
        <v>95</v>
      </c>
      <c r="E11" s="10">
        <v>134</v>
      </c>
      <c r="F11" s="6" t="s">
        <v>261</v>
      </c>
      <c r="G11" s="7"/>
      <c r="H11" s="1" t="s">
        <v>261</v>
      </c>
      <c r="I11" s="7"/>
      <c r="J11" s="1" t="s">
        <v>261</v>
      </c>
      <c r="K11" s="1"/>
      <c r="L11" s="7" t="s">
        <v>261</v>
      </c>
      <c r="M11" s="10"/>
      <c r="N11" s="7">
        <v>10</v>
      </c>
      <c r="O11" s="7"/>
      <c r="P11" s="1">
        <v>36</v>
      </c>
      <c r="Q11" s="48"/>
      <c r="R11" s="48">
        <v>72</v>
      </c>
      <c r="S11" s="48"/>
      <c r="T11" s="1">
        <v>103</v>
      </c>
      <c r="U11" s="54">
        <v>3</v>
      </c>
      <c r="V11" s="8">
        <v>12</v>
      </c>
      <c r="W11" s="6"/>
      <c r="X11" s="6">
        <v>48</v>
      </c>
      <c r="Y11" s="6"/>
      <c r="Z11" s="6">
        <v>73</v>
      </c>
      <c r="AA11" s="6" t="s">
        <v>26</v>
      </c>
      <c r="AB11" s="6">
        <v>87</v>
      </c>
      <c r="AC11" s="192" t="s">
        <v>311</v>
      </c>
      <c r="AD11" s="64"/>
    </row>
    <row r="12" spans="1:30" x14ac:dyDescent="0.15">
      <c r="A12" s="235" t="s">
        <v>253</v>
      </c>
      <c r="B12" s="11" t="s">
        <v>331</v>
      </c>
      <c r="C12" s="12">
        <v>46</v>
      </c>
      <c r="D12" s="12">
        <v>69</v>
      </c>
      <c r="E12" s="13">
        <v>86</v>
      </c>
      <c r="F12" s="7">
        <v>24</v>
      </c>
      <c r="G12" s="190"/>
      <c r="H12" s="12">
        <v>111</v>
      </c>
      <c r="I12" s="12"/>
      <c r="J12" s="12">
        <v>130</v>
      </c>
      <c r="K12" s="12"/>
      <c r="L12" s="14">
        <v>139</v>
      </c>
      <c r="M12" s="13"/>
      <c r="N12" s="14">
        <v>15</v>
      </c>
      <c r="O12" s="47">
        <v>17</v>
      </c>
      <c r="P12" s="12">
        <v>37</v>
      </c>
      <c r="Q12" s="44"/>
      <c r="R12" s="49">
        <v>77</v>
      </c>
      <c r="S12" s="49"/>
      <c r="T12" s="12">
        <v>104</v>
      </c>
      <c r="U12" s="56"/>
      <c r="V12" s="52" t="s">
        <v>125</v>
      </c>
      <c r="W12" s="52"/>
      <c r="X12" s="52" t="s">
        <v>129</v>
      </c>
      <c r="Y12" s="24"/>
      <c r="Z12" s="24" t="s">
        <v>218</v>
      </c>
      <c r="AA12" s="24"/>
      <c r="AB12" s="52" t="s">
        <v>224</v>
      </c>
      <c r="AC12" s="193"/>
      <c r="AD12" s="65">
        <v>4</v>
      </c>
    </row>
    <row r="13" spans="1:30" x14ac:dyDescent="0.15">
      <c r="A13" s="236"/>
      <c r="B13" s="9" t="s">
        <v>398</v>
      </c>
      <c r="C13" s="1" t="s">
        <v>50</v>
      </c>
      <c r="D13" s="1" t="s">
        <v>51</v>
      </c>
      <c r="E13" s="10" t="s">
        <v>52</v>
      </c>
      <c r="F13" s="7">
        <v>24</v>
      </c>
      <c r="G13" s="191"/>
      <c r="H13" s="1">
        <v>119</v>
      </c>
      <c r="I13" s="1"/>
      <c r="J13" s="1">
        <v>132</v>
      </c>
      <c r="K13" s="1"/>
      <c r="L13" s="7">
        <v>140</v>
      </c>
      <c r="M13" s="10"/>
      <c r="N13" s="7">
        <v>23</v>
      </c>
      <c r="O13" s="48">
        <v>17</v>
      </c>
      <c r="P13" s="1">
        <v>37</v>
      </c>
      <c r="Q13" s="45"/>
      <c r="R13" s="50">
        <v>77</v>
      </c>
      <c r="S13" s="50"/>
      <c r="T13" s="1">
        <v>104</v>
      </c>
      <c r="U13" s="54"/>
      <c r="V13" s="7">
        <v>13</v>
      </c>
      <c r="W13" s="48"/>
      <c r="X13" s="1">
        <v>52</v>
      </c>
      <c r="Y13" s="45"/>
      <c r="Z13" s="1">
        <v>74</v>
      </c>
      <c r="AA13" s="45"/>
      <c r="AB13" s="7">
        <v>93</v>
      </c>
      <c r="AC13" s="50" t="s">
        <v>269</v>
      </c>
      <c r="AD13" s="64">
        <v>133</v>
      </c>
    </row>
    <row r="14" spans="1:30" ht="14" thickBot="1" x14ac:dyDescent="0.2">
      <c r="A14" s="237"/>
      <c r="B14" s="8">
        <v>96</v>
      </c>
      <c r="C14" s="2">
        <v>145</v>
      </c>
      <c r="D14" s="2">
        <v>96</v>
      </c>
      <c r="E14" s="3">
        <v>145</v>
      </c>
      <c r="F14" s="7" t="s">
        <v>262</v>
      </c>
      <c r="G14" s="6"/>
      <c r="H14" s="2" t="s">
        <v>262</v>
      </c>
      <c r="I14" s="6"/>
      <c r="J14" s="2" t="s">
        <v>262</v>
      </c>
      <c r="K14" s="2"/>
      <c r="L14" s="6" t="s">
        <v>262</v>
      </c>
      <c r="M14" s="3"/>
      <c r="N14" s="6">
        <v>65</v>
      </c>
      <c r="O14" s="46">
        <v>17</v>
      </c>
      <c r="P14" s="2">
        <v>38</v>
      </c>
      <c r="Q14" s="6"/>
      <c r="R14" s="46">
        <v>77</v>
      </c>
      <c r="S14" s="46"/>
      <c r="T14" s="2">
        <v>104</v>
      </c>
      <c r="U14" s="55"/>
      <c r="V14" s="6">
        <v>14</v>
      </c>
      <c r="W14" s="46"/>
      <c r="X14" s="6">
        <v>53</v>
      </c>
      <c r="Y14" s="46"/>
      <c r="Z14" s="6">
        <v>76</v>
      </c>
      <c r="AA14" s="46"/>
      <c r="AB14" s="6">
        <v>93</v>
      </c>
      <c r="AC14" s="192" t="s">
        <v>314</v>
      </c>
      <c r="AD14" s="195"/>
    </row>
    <row r="15" spans="1:30" x14ac:dyDescent="0.15">
      <c r="A15" s="235" t="s">
        <v>254</v>
      </c>
      <c r="B15" s="9">
        <v>28</v>
      </c>
      <c r="C15" s="1">
        <v>47</v>
      </c>
      <c r="D15" s="1">
        <v>79</v>
      </c>
      <c r="E15" s="10">
        <v>89</v>
      </c>
      <c r="F15" s="14">
        <v>26</v>
      </c>
      <c r="G15" s="191"/>
      <c r="H15" s="1">
        <v>120</v>
      </c>
      <c r="I15" s="45"/>
      <c r="J15" s="1">
        <v>131</v>
      </c>
      <c r="K15" s="1" t="s">
        <v>301</v>
      </c>
      <c r="L15" s="7">
        <v>143</v>
      </c>
      <c r="M15" s="187"/>
      <c r="N15" s="7">
        <v>67</v>
      </c>
      <c r="O15" s="47">
        <v>17</v>
      </c>
      <c r="P15" s="1">
        <v>43</v>
      </c>
      <c r="Q15" s="45"/>
      <c r="R15" s="50">
        <v>77</v>
      </c>
      <c r="S15" s="50"/>
      <c r="T15" s="1">
        <v>105</v>
      </c>
      <c r="U15" s="54"/>
      <c r="V15" s="7" t="s">
        <v>207</v>
      </c>
      <c r="W15" s="7"/>
      <c r="X15" s="7" t="s">
        <v>213</v>
      </c>
      <c r="Y15" s="1"/>
      <c r="Z15" s="7" t="s">
        <v>138</v>
      </c>
      <c r="AA15" s="1"/>
      <c r="AB15" s="7" t="s">
        <v>348</v>
      </c>
      <c r="AC15" s="19"/>
      <c r="AD15" s="64">
        <v>90</v>
      </c>
    </row>
    <row r="16" spans="1:30" x14ac:dyDescent="0.15">
      <c r="A16" s="236"/>
      <c r="B16" s="9" t="s">
        <v>399</v>
      </c>
      <c r="C16" s="1" t="s">
        <v>183</v>
      </c>
      <c r="D16" s="1" t="s">
        <v>184</v>
      </c>
      <c r="E16" s="10" t="s">
        <v>185</v>
      </c>
      <c r="F16" s="7">
        <v>26</v>
      </c>
      <c r="G16" s="191"/>
      <c r="H16" s="1">
        <v>122</v>
      </c>
      <c r="I16" s="45"/>
      <c r="J16" s="1">
        <v>131</v>
      </c>
      <c r="K16" s="1" t="s">
        <v>315</v>
      </c>
      <c r="L16" s="7">
        <v>143</v>
      </c>
      <c r="M16" s="187"/>
      <c r="N16" s="7">
        <v>67</v>
      </c>
      <c r="O16" s="48">
        <v>17</v>
      </c>
      <c r="P16" s="1">
        <v>43</v>
      </c>
      <c r="Q16" s="45"/>
      <c r="R16" s="50">
        <v>77</v>
      </c>
      <c r="S16" s="50"/>
      <c r="T16" s="1">
        <v>105</v>
      </c>
      <c r="U16" s="54"/>
      <c r="V16" s="7">
        <v>41</v>
      </c>
      <c r="W16" s="48"/>
      <c r="X16" s="1">
        <v>54</v>
      </c>
      <c r="Y16" s="1"/>
      <c r="Z16" s="1">
        <v>80</v>
      </c>
      <c r="AA16" s="1"/>
      <c r="AB16" s="7">
        <v>127</v>
      </c>
      <c r="AC16" s="19"/>
      <c r="AD16" s="64"/>
    </row>
    <row r="17" spans="1:30" ht="14" thickBot="1" x14ac:dyDescent="0.2">
      <c r="A17" s="237"/>
      <c r="B17" s="9">
        <v>97</v>
      </c>
      <c r="C17" s="1">
        <v>146</v>
      </c>
      <c r="D17" s="1">
        <v>97</v>
      </c>
      <c r="E17" s="10">
        <v>146</v>
      </c>
      <c r="F17" s="7" t="s">
        <v>186</v>
      </c>
      <c r="G17" s="6"/>
      <c r="H17" s="1" t="s">
        <v>186</v>
      </c>
      <c r="I17" s="7"/>
      <c r="J17" s="1" t="s">
        <v>186</v>
      </c>
      <c r="K17" s="1"/>
      <c r="L17" s="7" t="s">
        <v>186</v>
      </c>
      <c r="M17" s="10"/>
      <c r="N17" s="7">
        <v>67</v>
      </c>
      <c r="O17" s="46">
        <v>17</v>
      </c>
      <c r="P17" s="1">
        <v>43</v>
      </c>
      <c r="Q17" s="48"/>
      <c r="R17" s="7">
        <v>77</v>
      </c>
      <c r="S17" s="7"/>
      <c r="T17" s="1">
        <v>105</v>
      </c>
      <c r="U17" s="54"/>
      <c r="V17" s="8">
        <v>42</v>
      </c>
      <c r="W17" s="46"/>
      <c r="X17" s="6">
        <v>54</v>
      </c>
      <c r="Y17" s="6"/>
      <c r="Z17" s="6">
        <v>80</v>
      </c>
      <c r="AA17" s="6"/>
      <c r="AB17" s="6">
        <v>128</v>
      </c>
      <c r="AC17" s="20"/>
      <c r="AD17" s="64"/>
    </row>
    <row r="18" spans="1:30" x14ac:dyDescent="0.15">
      <c r="A18" s="235" t="s">
        <v>255</v>
      </c>
      <c r="B18" s="11">
        <v>50</v>
      </c>
      <c r="C18" s="12">
        <v>50</v>
      </c>
      <c r="D18" s="12">
        <v>50</v>
      </c>
      <c r="E18" s="13">
        <v>50</v>
      </c>
      <c r="F18" s="14">
        <v>31</v>
      </c>
      <c r="G18" s="7"/>
      <c r="H18" s="12">
        <v>123</v>
      </c>
      <c r="I18" s="12"/>
      <c r="J18" s="12">
        <v>128</v>
      </c>
      <c r="K18" s="12"/>
      <c r="L18" s="14">
        <v>141</v>
      </c>
      <c r="M18" s="13"/>
      <c r="N18" s="14">
        <v>19</v>
      </c>
      <c r="O18" s="47"/>
      <c r="P18" s="12"/>
      <c r="Q18" s="44">
        <v>49</v>
      </c>
      <c r="R18" s="49">
        <v>78</v>
      </c>
      <c r="S18" s="49"/>
      <c r="T18" s="12">
        <v>106</v>
      </c>
      <c r="U18" s="56"/>
      <c r="V18" s="52" t="s">
        <v>208</v>
      </c>
      <c r="W18" s="52"/>
      <c r="X18" s="52" t="s">
        <v>133</v>
      </c>
      <c r="Y18" s="24"/>
      <c r="Z18" s="24">
        <v>21</v>
      </c>
      <c r="AA18" s="24" t="s">
        <v>290</v>
      </c>
      <c r="AB18" s="52" t="s">
        <v>349</v>
      </c>
      <c r="AC18" s="193"/>
      <c r="AD18" s="65">
        <v>4</v>
      </c>
    </row>
    <row r="19" spans="1:30" x14ac:dyDescent="0.15">
      <c r="A19" s="236"/>
      <c r="B19" s="9" t="s">
        <v>187</v>
      </c>
      <c r="C19" s="1" t="s">
        <v>308</v>
      </c>
      <c r="D19" s="1" t="s">
        <v>304</v>
      </c>
      <c r="E19" s="10" t="s">
        <v>188</v>
      </c>
      <c r="F19" s="7">
        <v>40</v>
      </c>
      <c r="G19" s="7"/>
      <c r="H19" s="1">
        <v>124</v>
      </c>
      <c r="I19" s="1"/>
      <c r="J19" s="1">
        <v>129</v>
      </c>
      <c r="K19" s="1"/>
      <c r="L19" s="7">
        <v>142</v>
      </c>
      <c r="M19" s="10"/>
      <c r="N19" s="7">
        <v>20</v>
      </c>
      <c r="O19" s="48"/>
      <c r="P19" s="1">
        <v>51</v>
      </c>
      <c r="Q19" s="45">
        <v>51</v>
      </c>
      <c r="R19" s="50">
        <v>82</v>
      </c>
      <c r="S19" s="50"/>
      <c r="T19" s="1">
        <v>106</v>
      </c>
      <c r="U19" s="54"/>
      <c r="V19" s="7">
        <v>25</v>
      </c>
      <c r="W19" s="7"/>
      <c r="X19" s="1">
        <v>55</v>
      </c>
      <c r="Y19" s="1"/>
      <c r="Z19" s="1">
        <v>21</v>
      </c>
      <c r="AA19" s="1" t="s">
        <v>35</v>
      </c>
      <c r="AB19" s="7">
        <v>132</v>
      </c>
      <c r="AC19" s="19"/>
      <c r="AD19" s="64">
        <v>133</v>
      </c>
    </row>
    <row r="20" spans="1:30" ht="14" thickBot="1" x14ac:dyDescent="0.2">
      <c r="A20" s="237"/>
      <c r="B20" s="8">
        <v>98</v>
      </c>
      <c r="C20" s="2">
        <v>147</v>
      </c>
      <c r="D20" s="2">
        <v>98</v>
      </c>
      <c r="E20" s="3">
        <v>147</v>
      </c>
      <c r="F20" s="7" t="s">
        <v>77</v>
      </c>
      <c r="G20" s="6"/>
      <c r="H20" s="2" t="s">
        <v>189</v>
      </c>
      <c r="I20" s="6"/>
      <c r="J20" s="2" t="s">
        <v>189</v>
      </c>
      <c r="K20" s="2"/>
      <c r="L20" s="6" t="s">
        <v>189</v>
      </c>
      <c r="M20" s="3"/>
      <c r="N20" s="6">
        <v>29</v>
      </c>
      <c r="O20" s="46"/>
      <c r="P20" s="2">
        <v>57</v>
      </c>
      <c r="Q20" s="46">
        <v>57</v>
      </c>
      <c r="R20" s="46">
        <v>100</v>
      </c>
      <c r="S20" s="46"/>
      <c r="T20" s="2">
        <v>106</v>
      </c>
      <c r="U20" s="55"/>
      <c r="V20" s="6">
        <v>27</v>
      </c>
      <c r="W20" s="6"/>
      <c r="X20" s="6">
        <v>60</v>
      </c>
      <c r="Y20" s="6"/>
      <c r="Z20" s="6">
        <v>21</v>
      </c>
      <c r="AA20" s="6" t="s">
        <v>36</v>
      </c>
      <c r="AB20" s="6">
        <v>137</v>
      </c>
      <c r="AC20" s="20"/>
      <c r="AD20" s="195"/>
    </row>
    <row r="21" spans="1:30" x14ac:dyDescent="0.15">
      <c r="A21" s="235" t="s">
        <v>256</v>
      </c>
      <c r="B21" s="9">
        <v>32</v>
      </c>
      <c r="C21" s="1">
        <v>56</v>
      </c>
      <c r="D21" s="1">
        <v>83</v>
      </c>
      <c r="E21" s="10">
        <v>107</v>
      </c>
      <c r="F21" s="14">
        <v>44</v>
      </c>
      <c r="G21" s="7" t="s">
        <v>267</v>
      </c>
      <c r="H21" s="1">
        <v>121</v>
      </c>
      <c r="I21" s="1"/>
      <c r="J21" s="1">
        <v>135</v>
      </c>
      <c r="K21" s="188"/>
      <c r="L21" s="7">
        <v>144</v>
      </c>
      <c r="M21" s="187"/>
      <c r="N21" s="7">
        <v>30</v>
      </c>
      <c r="O21" s="7"/>
      <c r="P21" s="1">
        <v>58</v>
      </c>
      <c r="Q21" s="45"/>
      <c r="R21" s="50">
        <v>101</v>
      </c>
      <c r="S21" s="50"/>
      <c r="T21" s="1">
        <v>108</v>
      </c>
      <c r="U21" s="54"/>
      <c r="V21" s="7" t="s">
        <v>209</v>
      </c>
      <c r="W21" s="7"/>
      <c r="X21" s="7" t="s">
        <v>215</v>
      </c>
      <c r="Y21" s="1"/>
      <c r="Z21" s="7" t="s">
        <v>220</v>
      </c>
      <c r="AA21" s="1"/>
      <c r="AB21" s="7" t="s">
        <v>350</v>
      </c>
      <c r="AC21" s="19"/>
      <c r="AD21" s="64" t="s">
        <v>404</v>
      </c>
    </row>
    <row r="22" spans="1:30" x14ac:dyDescent="0.15">
      <c r="A22" s="236"/>
      <c r="B22" s="9" t="s">
        <v>190</v>
      </c>
      <c r="C22" s="1" t="s">
        <v>191</v>
      </c>
      <c r="D22" s="1" t="s">
        <v>192</v>
      </c>
      <c r="E22" s="10" t="s">
        <v>193</v>
      </c>
      <c r="F22" s="1">
        <v>44</v>
      </c>
      <c r="G22" s="1" t="s">
        <v>315</v>
      </c>
      <c r="H22" s="1">
        <v>125</v>
      </c>
      <c r="I22" s="1"/>
      <c r="J22" s="1">
        <v>135</v>
      </c>
      <c r="K22" s="188"/>
      <c r="L22" s="7">
        <v>144</v>
      </c>
      <c r="M22" s="187"/>
      <c r="N22" s="7">
        <v>30</v>
      </c>
      <c r="O22" s="48"/>
      <c r="P22" s="1">
        <v>58</v>
      </c>
      <c r="Q22" s="45"/>
      <c r="R22" s="50">
        <v>101</v>
      </c>
      <c r="S22" s="50"/>
      <c r="T22" s="1">
        <v>108</v>
      </c>
      <c r="U22" s="54"/>
      <c r="V22" s="7">
        <v>33</v>
      </c>
      <c r="W22" s="1" t="s">
        <v>290</v>
      </c>
      <c r="X22" s="1">
        <v>61</v>
      </c>
      <c r="Y22" s="1"/>
      <c r="Z22" s="1">
        <v>33</v>
      </c>
      <c r="AA22" s="1" t="s">
        <v>290</v>
      </c>
      <c r="AB22" s="7">
        <v>44</v>
      </c>
      <c r="AC22" s="50" t="s">
        <v>267</v>
      </c>
      <c r="AD22" s="64">
        <v>133</v>
      </c>
    </row>
    <row r="23" spans="1:30" ht="14" thickBot="1" x14ac:dyDescent="0.2">
      <c r="A23" s="237"/>
      <c r="B23" s="8">
        <v>99</v>
      </c>
      <c r="C23" s="2">
        <v>149</v>
      </c>
      <c r="D23" s="2">
        <v>99</v>
      </c>
      <c r="E23" s="3">
        <v>149</v>
      </c>
      <c r="F23" s="2" t="s">
        <v>194</v>
      </c>
      <c r="G23" s="6"/>
      <c r="H23" s="2" t="s">
        <v>194</v>
      </c>
      <c r="I23" s="6"/>
      <c r="J23" s="2" t="s">
        <v>194</v>
      </c>
      <c r="K23" s="6"/>
      <c r="L23" s="6" t="s">
        <v>194</v>
      </c>
      <c r="M23" s="3"/>
      <c r="N23" s="6">
        <v>30</v>
      </c>
      <c r="O23" s="46"/>
      <c r="P23" s="2">
        <v>59</v>
      </c>
      <c r="Q23" s="46"/>
      <c r="R23" s="46">
        <v>101</v>
      </c>
      <c r="S23" s="46"/>
      <c r="T23" s="2">
        <v>108</v>
      </c>
      <c r="U23" s="55"/>
      <c r="V23" s="6">
        <v>33</v>
      </c>
      <c r="W23" s="6" t="s">
        <v>314</v>
      </c>
      <c r="X23" s="6">
        <v>63</v>
      </c>
      <c r="Y23" s="6"/>
      <c r="Z23" s="6">
        <v>33</v>
      </c>
      <c r="AA23" s="6" t="s">
        <v>314</v>
      </c>
      <c r="AB23" s="6">
        <v>44</v>
      </c>
      <c r="AC23" s="192" t="s">
        <v>315</v>
      </c>
      <c r="AD23" s="195"/>
    </row>
    <row r="26" spans="1:30" x14ac:dyDescent="0.15">
      <c r="E26">
        <v>62</v>
      </c>
    </row>
  </sheetData>
  <mergeCells count="16">
    <mergeCell ref="A18:A20"/>
    <mergeCell ref="A21:A23"/>
    <mergeCell ref="AB2:AC2"/>
    <mergeCell ref="A3:A5"/>
    <mergeCell ref="A6:A8"/>
    <mergeCell ref="A9:A11"/>
    <mergeCell ref="A12:A14"/>
    <mergeCell ref="A15:A17"/>
    <mergeCell ref="V2:W2"/>
    <mergeCell ref="X2:Y2"/>
    <mergeCell ref="Z2:AA2"/>
    <mergeCell ref="B1:E1"/>
    <mergeCell ref="F2:G2"/>
    <mergeCell ref="H2:I2"/>
    <mergeCell ref="J2:K2"/>
    <mergeCell ref="L2:M2"/>
  </mergeCells>
  <phoneticPr fontId="1" type="noConversion"/>
  <pageMargins left="0.75" right="0.75" top="1" bottom="1" header="0.5" footer="0.5"/>
  <pageSetup paperSize="10" orientation="portrait" horizontalDpi="4294967292" verticalDpi="4294967292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7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74" sqref="J74"/>
    </sheetView>
  </sheetViews>
  <sheetFormatPr baseColWidth="10" defaultRowHeight="13" x14ac:dyDescent="0.15"/>
  <cols>
    <col min="7" max="7" width="11.83203125" customWidth="1"/>
  </cols>
  <sheetData>
    <row r="1" spans="1:17" x14ac:dyDescent="0.15">
      <c r="A1" s="4"/>
      <c r="B1" s="14" t="s">
        <v>60</v>
      </c>
      <c r="C1" s="14" t="s">
        <v>60</v>
      </c>
      <c r="D1" s="14" t="s">
        <v>60</v>
      </c>
      <c r="E1" s="14" t="s">
        <v>60</v>
      </c>
      <c r="F1" s="14" t="s">
        <v>60</v>
      </c>
      <c r="G1" s="14" t="s">
        <v>60</v>
      </c>
      <c r="H1" s="14" t="s">
        <v>60</v>
      </c>
      <c r="I1" s="14" t="s">
        <v>60</v>
      </c>
      <c r="J1" s="43" t="s">
        <v>238</v>
      </c>
      <c r="K1" s="43" t="s">
        <v>238</v>
      </c>
      <c r="L1" s="43" t="s">
        <v>238</v>
      </c>
      <c r="M1" s="43" t="s">
        <v>238</v>
      </c>
      <c r="N1" s="43" t="s">
        <v>238</v>
      </c>
      <c r="O1" s="43" t="s">
        <v>238</v>
      </c>
      <c r="P1" s="43" t="s">
        <v>238</v>
      </c>
      <c r="Q1" s="43" t="s">
        <v>238</v>
      </c>
    </row>
    <row r="2" spans="1:17" ht="14" thickBot="1" x14ac:dyDescent="0.2">
      <c r="A2" s="5"/>
      <c r="B2" s="67" t="s">
        <v>240</v>
      </c>
      <c r="C2" s="90" t="s">
        <v>322</v>
      </c>
      <c r="D2" s="20" t="s">
        <v>273</v>
      </c>
      <c r="E2" s="90" t="s">
        <v>319</v>
      </c>
      <c r="F2" s="20" t="s">
        <v>274</v>
      </c>
      <c r="G2" s="90" t="s">
        <v>320</v>
      </c>
      <c r="H2" s="20" t="s">
        <v>275</v>
      </c>
      <c r="I2" s="91" t="s">
        <v>321</v>
      </c>
      <c r="J2" s="251" t="s">
        <v>61</v>
      </c>
      <c r="K2" s="242"/>
      <c r="L2" s="243" t="s">
        <v>62</v>
      </c>
      <c r="M2" s="242"/>
      <c r="N2" s="243" t="s">
        <v>63</v>
      </c>
      <c r="O2" s="242"/>
      <c r="P2" s="243" t="s">
        <v>64</v>
      </c>
      <c r="Q2" s="244"/>
    </row>
    <row r="3" spans="1:17" x14ac:dyDescent="0.15">
      <c r="A3" s="248" t="s">
        <v>407</v>
      </c>
      <c r="B3" s="72">
        <v>1</v>
      </c>
      <c r="C3" s="72">
        <v>65</v>
      </c>
      <c r="D3" s="73">
        <v>12</v>
      </c>
      <c r="E3" s="92">
        <v>67</v>
      </c>
      <c r="F3" s="93">
        <v>17</v>
      </c>
      <c r="G3" s="93">
        <v>88</v>
      </c>
      <c r="H3" s="73">
        <v>29</v>
      </c>
      <c r="I3" s="94">
        <v>103</v>
      </c>
      <c r="J3" s="72">
        <v>117</v>
      </c>
      <c r="K3" s="12" t="s">
        <v>15</v>
      </c>
      <c r="L3" s="73">
        <v>22</v>
      </c>
      <c r="M3" s="12"/>
      <c r="N3" s="73">
        <v>117</v>
      </c>
      <c r="O3" s="12" t="s">
        <v>15</v>
      </c>
      <c r="P3" s="72">
        <v>22</v>
      </c>
      <c r="Q3" s="13"/>
    </row>
    <row r="4" spans="1:17" x14ac:dyDescent="0.15">
      <c r="A4" s="249"/>
      <c r="B4" s="74">
        <v>2</v>
      </c>
      <c r="C4" s="74">
        <v>75</v>
      </c>
      <c r="D4" s="75">
        <v>15</v>
      </c>
      <c r="E4" s="95">
        <v>67</v>
      </c>
      <c r="F4" s="96">
        <v>17</v>
      </c>
      <c r="G4" s="96">
        <v>88</v>
      </c>
      <c r="H4" s="75">
        <v>49</v>
      </c>
      <c r="I4" s="97">
        <v>103</v>
      </c>
      <c r="J4" s="74">
        <v>117</v>
      </c>
      <c r="K4" s="45" t="s">
        <v>16</v>
      </c>
      <c r="L4" s="75">
        <v>75</v>
      </c>
      <c r="M4" s="45" t="s">
        <v>229</v>
      </c>
      <c r="N4" s="75">
        <v>117</v>
      </c>
      <c r="O4" s="45" t="s">
        <v>16</v>
      </c>
      <c r="P4" s="74">
        <v>75</v>
      </c>
      <c r="Q4" s="10" t="s">
        <v>229</v>
      </c>
    </row>
    <row r="5" spans="1:17" ht="14" thickBot="1" x14ac:dyDescent="0.2">
      <c r="A5" s="250"/>
      <c r="B5" s="76">
        <v>3</v>
      </c>
      <c r="C5" s="76">
        <v>75</v>
      </c>
      <c r="D5" s="98">
        <v>23</v>
      </c>
      <c r="E5" s="99">
        <v>67</v>
      </c>
      <c r="F5" s="99">
        <v>17</v>
      </c>
      <c r="G5" s="99">
        <v>88</v>
      </c>
      <c r="H5" s="98">
        <v>49</v>
      </c>
      <c r="I5" s="100">
        <v>103</v>
      </c>
      <c r="J5" s="76">
        <v>117</v>
      </c>
      <c r="K5" s="46" t="s">
        <v>17</v>
      </c>
      <c r="L5" s="76">
        <v>75</v>
      </c>
      <c r="M5" s="46" t="s">
        <v>230</v>
      </c>
      <c r="N5" s="76">
        <v>117</v>
      </c>
      <c r="O5" s="46" t="s">
        <v>17</v>
      </c>
      <c r="P5" s="76">
        <v>75</v>
      </c>
      <c r="Q5" s="3" t="s">
        <v>230</v>
      </c>
    </row>
    <row r="6" spans="1:17" x14ac:dyDescent="0.15">
      <c r="A6" s="235" t="s">
        <v>408</v>
      </c>
      <c r="B6" s="14">
        <v>6</v>
      </c>
      <c r="C6" s="14"/>
      <c r="D6" s="12">
        <v>34</v>
      </c>
      <c r="E6" s="47"/>
      <c r="F6" s="47">
        <v>68</v>
      </c>
      <c r="G6" s="47"/>
      <c r="H6" s="12">
        <v>102</v>
      </c>
      <c r="I6" s="56"/>
      <c r="J6" s="72" t="s">
        <v>318</v>
      </c>
      <c r="K6" s="52"/>
      <c r="L6" s="74" t="s">
        <v>130</v>
      </c>
      <c r="M6" s="14"/>
      <c r="N6" s="74" t="s">
        <v>216</v>
      </c>
      <c r="O6" s="14"/>
      <c r="P6" s="74" t="s">
        <v>222</v>
      </c>
      <c r="Q6" s="13"/>
    </row>
    <row r="7" spans="1:17" x14ac:dyDescent="0.15">
      <c r="A7" s="236"/>
      <c r="B7" s="7" t="s">
        <v>195</v>
      </c>
      <c r="C7" s="77"/>
      <c r="D7" s="1">
        <v>34</v>
      </c>
      <c r="E7" s="45"/>
      <c r="F7" s="50">
        <v>68</v>
      </c>
      <c r="G7" s="50"/>
      <c r="H7" s="1">
        <v>102</v>
      </c>
      <c r="I7" s="54"/>
      <c r="J7" s="74">
        <v>7</v>
      </c>
      <c r="K7" s="78" t="s">
        <v>267</v>
      </c>
      <c r="L7" s="75">
        <v>39</v>
      </c>
      <c r="M7" s="45" t="s">
        <v>382</v>
      </c>
      <c r="N7" s="75">
        <v>70</v>
      </c>
      <c r="O7" s="45" t="s">
        <v>21</v>
      </c>
      <c r="P7" s="74">
        <v>81</v>
      </c>
      <c r="Q7" s="10"/>
    </row>
    <row r="8" spans="1:17" ht="14" thickBot="1" x14ac:dyDescent="0.2">
      <c r="A8" s="237"/>
      <c r="B8" s="6" t="s">
        <v>196</v>
      </c>
      <c r="C8" s="6"/>
      <c r="D8" s="2">
        <v>34</v>
      </c>
      <c r="E8" s="46"/>
      <c r="F8" s="46">
        <v>68</v>
      </c>
      <c r="G8" s="46"/>
      <c r="H8" s="2">
        <v>102</v>
      </c>
      <c r="I8" s="55"/>
      <c r="J8" s="76">
        <v>7</v>
      </c>
      <c r="K8" s="46" t="s">
        <v>315</v>
      </c>
      <c r="L8" s="76">
        <v>39</v>
      </c>
      <c r="M8" s="46" t="s">
        <v>266</v>
      </c>
      <c r="N8" s="76">
        <v>70</v>
      </c>
      <c r="O8" s="46" t="s">
        <v>22</v>
      </c>
      <c r="P8" s="76">
        <v>119</v>
      </c>
      <c r="Q8" s="3"/>
    </row>
    <row r="9" spans="1:17" x14ac:dyDescent="0.15">
      <c r="A9" s="235" t="s">
        <v>252</v>
      </c>
      <c r="B9" s="7" t="s">
        <v>197</v>
      </c>
      <c r="C9" s="48"/>
      <c r="D9" s="1">
        <v>36</v>
      </c>
      <c r="E9" s="45"/>
      <c r="F9" s="50">
        <v>72</v>
      </c>
      <c r="G9" s="50"/>
      <c r="H9" s="1">
        <v>103</v>
      </c>
      <c r="I9" s="54">
        <v>1</v>
      </c>
      <c r="J9" s="74" t="s">
        <v>225</v>
      </c>
      <c r="K9" s="7"/>
      <c r="L9" s="74" t="s">
        <v>131</v>
      </c>
      <c r="M9" s="1"/>
      <c r="N9" s="74" t="s">
        <v>217</v>
      </c>
      <c r="O9" s="1"/>
      <c r="P9" s="74" t="s">
        <v>223</v>
      </c>
      <c r="Q9" s="10"/>
    </row>
    <row r="10" spans="1:17" x14ac:dyDescent="0.15">
      <c r="A10" s="236"/>
      <c r="B10" s="7" t="s">
        <v>197</v>
      </c>
      <c r="C10" s="48"/>
      <c r="D10" s="1">
        <v>36</v>
      </c>
      <c r="E10" s="45"/>
      <c r="F10" s="50">
        <v>72</v>
      </c>
      <c r="G10" s="50"/>
      <c r="H10" s="1">
        <v>103</v>
      </c>
      <c r="I10" s="54">
        <v>2</v>
      </c>
      <c r="J10" s="74">
        <v>11</v>
      </c>
      <c r="K10" s="7"/>
      <c r="L10" s="75">
        <v>48</v>
      </c>
      <c r="M10" s="1"/>
      <c r="N10" s="75">
        <v>73</v>
      </c>
      <c r="O10" s="1" t="s">
        <v>383</v>
      </c>
      <c r="P10" s="74">
        <v>87</v>
      </c>
      <c r="Q10" s="54" t="s">
        <v>312</v>
      </c>
    </row>
    <row r="11" spans="1:17" ht="14" thickBot="1" x14ac:dyDescent="0.2">
      <c r="A11" s="237"/>
      <c r="B11" s="7">
        <v>10</v>
      </c>
      <c r="C11" s="7"/>
      <c r="D11" s="1">
        <v>36</v>
      </c>
      <c r="E11" s="48"/>
      <c r="F11" s="48">
        <v>72</v>
      </c>
      <c r="G11" s="48"/>
      <c r="H11" s="1">
        <v>103</v>
      </c>
      <c r="I11" s="54">
        <v>3</v>
      </c>
      <c r="J11" s="74">
        <v>12</v>
      </c>
      <c r="K11" s="7"/>
      <c r="L11" s="74">
        <v>48</v>
      </c>
      <c r="M11" s="7"/>
      <c r="N11" s="74">
        <v>73</v>
      </c>
      <c r="O11" s="7" t="s">
        <v>26</v>
      </c>
      <c r="P11" s="74">
        <v>87</v>
      </c>
      <c r="Q11" s="54" t="s">
        <v>311</v>
      </c>
    </row>
    <row r="12" spans="1:17" x14ac:dyDescent="0.15">
      <c r="A12" s="235" t="s">
        <v>253</v>
      </c>
      <c r="B12" s="14">
        <v>15</v>
      </c>
      <c r="C12" s="47">
        <v>17</v>
      </c>
      <c r="D12" s="12">
        <v>37</v>
      </c>
      <c r="E12" s="44"/>
      <c r="F12" s="49">
        <v>77</v>
      </c>
      <c r="G12" s="49"/>
      <c r="H12" s="12">
        <v>104</v>
      </c>
      <c r="I12" s="56"/>
      <c r="J12" s="74" t="s">
        <v>125</v>
      </c>
      <c r="K12" s="14"/>
      <c r="L12" s="74" t="s">
        <v>129</v>
      </c>
      <c r="M12" s="12"/>
      <c r="N12" s="73" t="s">
        <v>218</v>
      </c>
      <c r="O12" s="12"/>
      <c r="P12" s="74" t="s">
        <v>224</v>
      </c>
      <c r="Q12" s="13"/>
    </row>
    <row r="13" spans="1:17" x14ac:dyDescent="0.15">
      <c r="A13" s="236"/>
      <c r="B13" s="7">
        <v>23</v>
      </c>
      <c r="C13" s="48">
        <v>17</v>
      </c>
      <c r="D13" s="1">
        <v>37</v>
      </c>
      <c r="E13" s="45"/>
      <c r="F13" s="50">
        <v>77</v>
      </c>
      <c r="G13" s="50"/>
      <c r="H13" s="1">
        <v>104</v>
      </c>
      <c r="I13" s="54"/>
      <c r="J13" s="7">
        <v>13</v>
      </c>
      <c r="K13" s="48"/>
      <c r="L13" s="75">
        <v>52</v>
      </c>
      <c r="M13" s="45"/>
      <c r="N13" s="1">
        <v>11</v>
      </c>
      <c r="O13" s="45"/>
      <c r="P13" s="74">
        <v>93</v>
      </c>
      <c r="Q13" s="54" t="s">
        <v>269</v>
      </c>
    </row>
    <row r="14" spans="1:17" ht="14" thickBot="1" x14ac:dyDescent="0.2">
      <c r="A14" s="237"/>
      <c r="B14" s="6">
        <v>65</v>
      </c>
      <c r="C14" s="46">
        <v>17</v>
      </c>
      <c r="D14" s="2">
        <v>38</v>
      </c>
      <c r="E14" s="6"/>
      <c r="F14" s="46">
        <v>77</v>
      </c>
      <c r="G14" s="46"/>
      <c r="H14" s="2">
        <v>104</v>
      </c>
      <c r="I14" s="55"/>
      <c r="J14" s="6">
        <v>14</v>
      </c>
      <c r="K14" s="46"/>
      <c r="L14" s="76">
        <v>53</v>
      </c>
      <c r="M14" s="46"/>
      <c r="N14" s="76">
        <v>74</v>
      </c>
      <c r="O14" s="46"/>
      <c r="P14" s="76">
        <v>93</v>
      </c>
      <c r="Q14" s="55" t="s">
        <v>314</v>
      </c>
    </row>
    <row r="15" spans="1:17" x14ac:dyDescent="0.15">
      <c r="A15" s="235" t="s">
        <v>254</v>
      </c>
      <c r="B15" s="7">
        <v>67</v>
      </c>
      <c r="C15" s="47">
        <v>17</v>
      </c>
      <c r="D15" s="1">
        <v>43</v>
      </c>
      <c r="E15" s="45"/>
      <c r="F15" s="50">
        <v>77</v>
      </c>
      <c r="G15" s="50"/>
      <c r="H15" s="1">
        <v>105</v>
      </c>
      <c r="I15" s="54"/>
      <c r="J15" s="74" t="s">
        <v>207</v>
      </c>
      <c r="K15" s="7"/>
      <c r="L15" s="74" t="s">
        <v>213</v>
      </c>
      <c r="M15" s="1"/>
      <c r="N15" s="74" t="s">
        <v>138</v>
      </c>
      <c r="O15" s="1"/>
      <c r="P15" s="74" t="s">
        <v>348</v>
      </c>
      <c r="Q15" s="10"/>
    </row>
    <row r="16" spans="1:17" x14ac:dyDescent="0.15">
      <c r="A16" s="236"/>
      <c r="B16" s="7">
        <v>67</v>
      </c>
      <c r="C16" s="48">
        <v>17</v>
      </c>
      <c r="D16" s="1">
        <v>43</v>
      </c>
      <c r="E16" s="45"/>
      <c r="F16" s="50">
        <v>77</v>
      </c>
      <c r="G16" s="50"/>
      <c r="H16" s="1">
        <v>105</v>
      </c>
      <c r="I16" s="54"/>
      <c r="J16" s="7">
        <v>41</v>
      </c>
      <c r="K16" s="48"/>
      <c r="L16" s="75">
        <v>54</v>
      </c>
      <c r="M16" s="1"/>
      <c r="N16" s="1">
        <v>80</v>
      </c>
      <c r="O16" s="1"/>
      <c r="P16" s="74">
        <v>127</v>
      </c>
      <c r="Q16" s="10"/>
    </row>
    <row r="17" spans="1:17" ht="14" thickBot="1" x14ac:dyDescent="0.2">
      <c r="A17" s="237"/>
      <c r="B17" s="7">
        <v>67</v>
      </c>
      <c r="C17" s="46">
        <v>17</v>
      </c>
      <c r="D17" s="1">
        <v>43</v>
      </c>
      <c r="E17" s="48"/>
      <c r="F17" s="7">
        <v>77</v>
      </c>
      <c r="G17" s="7"/>
      <c r="H17" s="1">
        <v>105</v>
      </c>
      <c r="I17" s="54"/>
      <c r="J17" s="7">
        <v>42</v>
      </c>
      <c r="K17" s="48"/>
      <c r="L17" s="7">
        <v>54</v>
      </c>
      <c r="M17" s="7"/>
      <c r="N17" s="7">
        <v>80</v>
      </c>
      <c r="O17" s="7"/>
      <c r="P17" s="74">
        <v>128</v>
      </c>
      <c r="Q17" s="10"/>
    </row>
    <row r="18" spans="1:17" x14ac:dyDescent="0.15">
      <c r="A18" s="235" t="s">
        <v>255</v>
      </c>
      <c r="B18" s="14">
        <v>19</v>
      </c>
      <c r="C18" s="47"/>
      <c r="D18" s="12"/>
      <c r="E18" s="44">
        <v>49</v>
      </c>
      <c r="F18" s="49">
        <v>78</v>
      </c>
      <c r="G18" s="49"/>
      <c r="H18" s="12">
        <v>106</v>
      </c>
      <c r="I18" s="56"/>
      <c r="J18" s="74" t="s">
        <v>208</v>
      </c>
      <c r="K18" s="14"/>
      <c r="L18" s="74" t="s">
        <v>133</v>
      </c>
      <c r="M18" s="12"/>
      <c r="N18" s="73">
        <v>21</v>
      </c>
      <c r="O18" s="12" t="s">
        <v>290</v>
      </c>
      <c r="P18" s="74" t="s">
        <v>349</v>
      </c>
      <c r="Q18" s="13"/>
    </row>
    <row r="19" spans="1:17" x14ac:dyDescent="0.15">
      <c r="A19" s="236"/>
      <c r="B19" s="7">
        <v>20</v>
      </c>
      <c r="C19" s="48"/>
      <c r="D19" s="1">
        <v>51</v>
      </c>
      <c r="E19" s="45">
        <v>51</v>
      </c>
      <c r="F19" s="50">
        <v>82</v>
      </c>
      <c r="G19" s="50"/>
      <c r="H19" s="1">
        <v>106</v>
      </c>
      <c r="I19" s="54"/>
      <c r="J19" s="74">
        <v>25</v>
      </c>
      <c r="K19" s="7"/>
      <c r="L19" s="1">
        <v>55</v>
      </c>
      <c r="M19" s="1"/>
      <c r="N19" s="75">
        <v>21</v>
      </c>
      <c r="O19" s="1" t="s">
        <v>35</v>
      </c>
      <c r="P19" s="74">
        <v>132</v>
      </c>
      <c r="Q19" s="10"/>
    </row>
    <row r="20" spans="1:17" ht="14" thickBot="1" x14ac:dyDescent="0.2">
      <c r="A20" s="237"/>
      <c r="B20" s="6">
        <v>29</v>
      </c>
      <c r="C20" s="46"/>
      <c r="D20" s="2">
        <v>57</v>
      </c>
      <c r="E20" s="46">
        <v>57</v>
      </c>
      <c r="F20" s="46">
        <v>100</v>
      </c>
      <c r="G20" s="46"/>
      <c r="H20" s="2">
        <v>106</v>
      </c>
      <c r="I20" s="55"/>
      <c r="J20" s="76">
        <v>27</v>
      </c>
      <c r="K20" s="6"/>
      <c r="L20" s="6">
        <v>60</v>
      </c>
      <c r="M20" s="6"/>
      <c r="N20" s="76">
        <v>21</v>
      </c>
      <c r="O20" s="6" t="s">
        <v>36</v>
      </c>
      <c r="P20" s="6">
        <v>137</v>
      </c>
      <c r="Q20" s="3"/>
    </row>
    <row r="21" spans="1:17" x14ac:dyDescent="0.15">
      <c r="A21" s="235" t="s">
        <v>256</v>
      </c>
      <c r="B21" s="7">
        <v>30</v>
      </c>
      <c r="C21" s="7"/>
      <c r="D21" s="1">
        <v>58</v>
      </c>
      <c r="E21" s="45"/>
      <c r="F21" s="50">
        <v>101</v>
      </c>
      <c r="G21" s="50"/>
      <c r="H21" s="1">
        <v>108</v>
      </c>
      <c r="I21" s="54"/>
      <c r="J21" s="74" t="s">
        <v>209</v>
      </c>
      <c r="K21" s="7"/>
      <c r="L21" s="74" t="s">
        <v>215</v>
      </c>
      <c r="M21" s="1"/>
      <c r="N21" s="74" t="s">
        <v>220</v>
      </c>
      <c r="O21" s="1"/>
      <c r="P21" s="74" t="s">
        <v>350</v>
      </c>
      <c r="Q21" s="10"/>
    </row>
    <row r="22" spans="1:17" x14ac:dyDescent="0.15">
      <c r="A22" s="236"/>
      <c r="B22" s="7">
        <v>30</v>
      </c>
      <c r="C22" s="48"/>
      <c r="D22" s="1">
        <v>58</v>
      </c>
      <c r="E22" s="45"/>
      <c r="F22" s="50">
        <v>101</v>
      </c>
      <c r="G22" s="50"/>
      <c r="H22" s="1">
        <v>108</v>
      </c>
      <c r="I22" s="54"/>
      <c r="J22" s="74">
        <v>33</v>
      </c>
      <c r="K22" s="1" t="s">
        <v>290</v>
      </c>
      <c r="L22" s="75">
        <v>61</v>
      </c>
      <c r="M22" s="1"/>
      <c r="N22" s="1">
        <v>33</v>
      </c>
      <c r="O22" s="1" t="s">
        <v>290</v>
      </c>
      <c r="P22" s="74">
        <v>44</v>
      </c>
      <c r="Q22" s="54" t="s">
        <v>267</v>
      </c>
    </row>
    <row r="23" spans="1:17" ht="14" thickBot="1" x14ac:dyDescent="0.2">
      <c r="A23" s="237"/>
      <c r="B23" s="6">
        <v>30</v>
      </c>
      <c r="C23" s="46"/>
      <c r="D23" s="2">
        <v>59</v>
      </c>
      <c r="E23" s="46"/>
      <c r="F23" s="46">
        <v>101</v>
      </c>
      <c r="G23" s="46"/>
      <c r="H23" s="2">
        <v>108</v>
      </c>
      <c r="I23" s="55"/>
      <c r="J23" s="76">
        <v>33</v>
      </c>
      <c r="K23" s="6" t="s">
        <v>314</v>
      </c>
      <c r="L23" s="76">
        <v>63</v>
      </c>
      <c r="M23" s="6"/>
      <c r="N23" s="6">
        <v>33</v>
      </c>
      <c r="O23" s="6" t="s">
        <v>314</v>
      </c>
      <c r="P23" s="76">
        <v>44</v>
      </c>
      <c r="Q23" s="55" t="s">
        <v>315</v>
      </c>
    </row>
    <row r="24" spans="1:17" x14ac:dyDescent="0.15">
      <c r="A24" s="167"/>
      <c r="B24" s="160"/>
      <c r="C24" s="168"/>
      <c r="D24" s="162"/>
      <c r="E24" s="168"/>
      <c r="F24" s="169"/>
      <c r="G24" s="169"/>
      <c r="H24" s="162"/>
      <c r="I24" s="170"/>
      <c r="J24" s="171" t="s">
        <v>198</v>
      </c>
      <c r="K24" s="165"/>
      <c r="L24" s="160"/>
      <c r="M24" s="165"/>
      <c r="N24" s="160"/>
      <c r="O24" s="165"/>
      <c r="P24" s="160"/>
      <c r="Q24" s="170"/>
    </row>
    <row r="25" spans="1:17" x14ac:dyDescent="0.15">
      <c r="A25" s="167"/>
      <c r="B25" s="160"/>
      <c r="C25" s="168"/>
      <c r="D25" s="162"/>
      <c r="E25" s="168"/>
      <c r="F25" s="169"/>
      <c r="G25" s="169"/>
      <c r="H25" s="162"/>
      <c r="I25" s="170"/>
      <c r="J25" s="160"/>
      <c r="K25" s="165"/>
      <c r="L25" s="160"/>
      <c r="M25" s="165"/>
      <c r="N25" s="160"/>
      <c r="O25" s="165"/>
      <c r="P25" s="160"/>
      <c r="Q25" s="170"/>
    </row>
    <row r="26" spans="1:17" ht="14" thickBot="1" x14ac:dyDescent="0.2">
      <c r="A26" s="159"/>
      <c r="B26" s="160"/>
      <c r="C26" s="161"/>
      <c r="D26" s="162"/>
      <c r="E26" s="161"/>
      <c r="F26" s="162"/>
      <c r="G26" s="163"/>
      <c r="H26" s="162"/>
      <c r="I26" s="164"/>
      <c r="J26" s="160"/>
      <c r="K26" s="165"/>
      <c r="L26" s="162"/>
      <c r="M26" s="165"/>
      <c r="N26" s="162"/>
      <c r="O26" s="165"/>
      <c r="P26" s="160"/>
      <c r="Q26" s="166"/>
    </row>
    <row r="27" spans="1:17" x14ac:dyDescent="0.15">
      <c r="A27" s="248" t="s">
        <v>407</v>
      </c>
      <c r="B27" s="72">
        <v>1</v>
      </c>
      <c r="C27" s="72">
        <v>65</v>
      </c>
      <c r="D27" s="73">
        <v>12</v>
      </c>
      <c r="E27" s="92">
        <v>67</v>
      </c>
      <c r="F27" s="93">
        <v>17</v>
      </c>
      <c r="G27" s="93">
        <v>88</v>
      </c>
      <c r="H27" s="73">
        <v>29</v>
      </c>
      <c r="I27" s="94">
        <v>103</v>
      </c>
      <c r="J27" s="72">
        <v>117</v>
      </c>
      <c r="K27" s="12" t="s">
        <v>15</v>
      </c>
      <c r="L27" s="73">
        <v>22</v>
      </c>
      <c r="M27" s="12"/>
      <c r="N27" s="73">
        <v>117</v>
      </c>
      <c r="O27" s="12" t="s">
        <v>15</v>
      </c>
      <c r="P27" s="72">
        <v>22</v>
      </c>
      <c r="Q27" s="13"/>
    </row>
    <row r="28" spans="1:17" x14ac:dyDescent="0.15">
      <c r="A28" s="249"/>
      <c r="B28" s="74">
        <v>2</v>
      </c>
      <c r="C28" s="74">
        <v>75</v>
      </c>
      <c r="D28" s="75">
        <v>15</v>
      </c>
      <c r="E28" s="95">
        <v>67</v>
      </c>
      <c r="F28" s="96">
        <v>17</v>
      </c>
      <c r="G28" s="96">
        <v>88</v>
      </c>
      <c r="H28" s="75">
        <v>49</v>
      </c>
      <c r="I28" s="97">
        <v>103</v>
      </c>
      <c r="J28" s="74">
        <v>117</v>
      </c>
      <c r="K28" s="45" t="s">
        <v>16</v>
      </c>
      <c r="L28" s="75">
        <v>75</v>
      </c>
      <c r="M28" s="45" t="s">
        <v>229</v>
      </c>
      <c r="N28" s="75">
        <v>117</v>
      </c>
      <c r="O28" s="45" t="s">
        <v>16</v>
      </c>
      <c r="P28" s="74">
        <v>75</v>
      </c>
      <c r="Q28" s="10" t="s">
        <v>229</v>
      </c>
    </row>
    <row r="29" spans="1:17" ht="14" thickBot="1" x14ac:dyDescent="0.2">
      <c r="A29" s="250"/>
      <c r="B29" s="76">
        <v>3</v>
      </c>
      <c r="C29" s="76">
        <v>75</v>
      </c>
      <c r="D29" s="98">
        <v>23</v>
      </c>
      <c r="E29" s="99">
        <v>67</v>
      </c>
      <c r="F29" s="99">
        <v>17</v>
      </c>
      <c r="G29" s="99">
        <v>88</v>
      </c>
      <c r="H29" s="98">
        <v>49</v>
      </c>
      <c r="I29" s="100">
        <v>103</v>
      </c>
      <c r="J29" s="76">
        <v>117</v>
      </c>
      <c r="K29" s="46" t="s">
        <v>17</v>
      </c>
      <c r="L29" s="76">
        <v>75</v>
      </c>
      <c r="M29" s="46" t="s">
        <v>230</v>
      </c>
      <c r="N29" s="76">
        <v>117</v>
      </c>
      <c r="O29" s="46" t="s">
        <v>17</v>
      </c>
      <c r="P29" s="76">
        <v>75</v>
      </c>
      <c r="Q29" s="3" t="s">
        <v>230</v>
      </c>
    </row>
    <row r="30" spans="1:17" x14ac:dyDescent="0.15">
      <c r="A30" s="235" t="s">
        <v>408</v>
      </c>
      <c r="B30" s="14"/>
      <c r="C30" s="14"/>
      <c r="D30" s="12"/>
      <c r="E30" s="47"/>
      <c r="F30" s="47"/>
      <c r="G30" s="47"/>
      <c r="H30" s="12"/>
      <c r="I30" s="56"/>
      <c r="J30" s="72" t="s">
        <v>318</v>
      </c>
      <c r="K30" s="52"/>
      <c r="L30" s="74" t="s">
        <v>130</v>
      </c>
      <c r="M30" s="14"/>
      <c r="N30" s="74" t="s">
        <v>135</v>
      </c>
      <c r="O30" s="14"/>
      <c r="P30" s="74" t="s">
        <v>145</v>
      </c>
      <c r="Q30" s="13"/>
    </row>
    <row r="31" spans="1:17" x14ac:dyDescent="0.15">
      <c r="A31" s="236"/>
      <c r="B31" s="7"/>
      <c r="C31" s="77"/>
      <c r="D31" s="1"/>
      <c r="E31" s="45"/>
      <c r="F31" s="50"/>
      <c r="G31" s="50"/>
      <c r="H31" s="1"/>
      <c r="I31" s="54"/>
      <c r="J31" s="74">
        <v>7</v>
      </c>
      <c r="K31" s="78" t="s">
        <v>148</v>
      </c>
      <c r="L31" s="75">
        <v>39</v>
      </c>
      <c r="M31" s="45" t="s">
        <v>405</v>
      </c>
      <c r="N31" s="75">
        <v>70</v>
      </c>
      <c r="O31" s="45" t="s">
        <v>21</v>
      </c>
      <c r="P31" s="74">
        <v>81</v>
      </c>
      <c r="Q31" s="10"/>
    </row>
    <row r="32" spans="1:17" ht="14" thickBot="1" x14ac:dyDescent="0.2">
      <c r="A32" s="237"/>
      <c r="B32" s="6"/>
      <c r="C32" s="6"/>
      <c r="D32" s="2"/>
      <c r="E32" s="46"/>
      <c r="F32" s="46"/>
      <c r="G32" s="46"/>
      <c r="H32" s="2"/>
      <c r="I32" s="55"/>
      <c r="J32" s="76">
        <v>7</v>
      </c>
      <c r="K32" s="46" t="s">
        <v>149</v>
      </c>
      <c r="L32" s="76">
        <v>39</v>
      </c>
      <c r="M32" s="46" t="s">
        <v>266</v>
      </c>
      <c r="N32" s="76">
        <v>70</v>
      </c>
      <c r="O32" s="46" t="s">
        <v>22</v>
      </c>
      <c r="P32" s="76">
        <v>119</v>
      </c>
      <c r="Q32" s="3"/>
    </row>
    <row r="33" spans="1:17" x14ac:dyDescent="0.15">
      <c r="A33" s="235" t="s">
        <v>252</v>
      </c>
      <c r="B33" s="7"/>
      <c r="C33" s="48"/>
      <c r="D33" s="1"/>
      <c r="E33" s="45"/>
      <c r="F33" s="50"/>
      <c r="G33" s="50"/>
      <c r="H33" s="1"/>
      <c r="I33" s="54"/>
      <c r="J33" s="74" t="s">
        <v>225</v>
      </c>
      <c r="K33" s="7"/>
      <c r="L33" s="74" t="s">
        <v>131</v>
      </c>
      <c r="M33" s="1"/>
      <c r="N33" s="74" t="s">
        <v>136</v>
      </c>
      <c r="O33" s="1"/>
      <c r="P33" s="74" t="s">
        <v>140</v>
      </c>
      <c r="Q33" s="10"/>
    </row>
    <row r="34" spans="1:17" x14ac:dyDescent="0.15">
      <c r="A34" s="236"/>
      <c r="B34" s="7"/>
      <c r="C34" s="48"/>
      <c r="D34" s="1"/>
      <c r="E34" s="45"/>
      <c r="F34" s="50"/>
      <c r="G34" s="50"/>
      <c r="H34" s="1"/>
      <c r="I34" s="54"/>
      <c r="J34" s="74">
        <v>12</v>
      </c>
      <c r="K34" s="7"/>
      <c r="L34" s="75">
        <v>52</v>
      </c>
      <c r="M34" s="1"/>
      <c r="N34" s="75">
        <v>73</v>
      </c>
      <c r="O34" s="1" t="s">
        <v>9</v>
      </c>
      <c r="P34" s="74">
        <v>87</v>
      </c>
      <c r="Q34" s="54" t="s">
        <v>312</v>
      </c>
    </row>
    <row r="35" spans="1:17" ht="14" thickBot="1" x14ac:dyDescent="0.2">
      <c r="A35" s="237"/>
      <c r="B35" s="7"/>
      <c r="C35" s="7"/>
      <c r="D35" s="1"/>
      <c r="E35" s="48"/>
      <c r="F35" s="48"/>
      <c r="G35" s="48"/>
      <c r="H35" s="1"/>
      <c r="I35" s="54"/>
      <c r="J35" s="74">
        <v>13</v>
      </c>
      <c r="K35" s="7"/>
      <c r="L35" s="74">
        <v>53</v>
      </c>
      <c r="M35" s="7"/>
      <c r="N35" s="74">
        <v>73</v>
      </c>
      <c r="O35" s="7" t="s">
        <v>26</v>
      </c>
      <c r="P35" s="74">
        <v>87</v>
      </c>
      <c r="Q35" s="54" t="s">
        <v>311</v>
      </c>
    </row>
    <row r="36" spans="1:17" x14ac:dyDescent="0.15">
      <c r="A36" s="235" t="s">
        <v>253</v>
      </c>
      <c r="B36" s="14"/>
      <c r="C36" s="47"/>
      <c r="D36" s="12"/>
      <c r="E36" s="44"/>
      <c r="F36" s="49"/>
      <c r="G36" s="49"/>
      <c r="H36" s="12"/>
      <c r="I36" s="56"/>
      <c r="J36" s="74" t="s">
        <v>125</v>
      </c>
      <c r="K36" s="14"/>
      <c r="L36" s="74" t="s">
        <v>129</v>
      </c>
      <c r="M36" s="12"/>
      <c r="N36" s="73" t="s">
        <v>137</v>
      </c>
      <c r="O36" s="12"/>
      <c r="P36" s="74" t="s">
        <v>141</v>
      </c>
      <c r="Q36" s="13"/>
    </row>
    <row r="37" spans="1:17" x14ac:dyDescent="0.15">
      <c r="A37" s="236"/>
      <c r="B37" s="7"/>
      <c r="C37" s="48"/>
      <c r="D37" s="1"/>
      <c r="E37" s="45"/>
      <c r="F37" s="50"/>
      <c r="G37" s="50"/>
      <c r="H37" s="1"/>
      <c r="I37" s="54"/>
      <c r="J37" s="7">
        <v>10</v>
      </c>
      <c r="K37" s="48"/>
      <c r="L37" s="75">
        <v>54</v>
      </c>
      <c r="M37" s="45" t="s">
        <v>235</v>
      </c>
      <c r="N37" s="1">
        <v>11</v>
      </c>
      <c r="O37" s="45"/>
      <c r="P37" s="74">
        <v>93</v>
      </c>
      <c r="Q37" s="54" t="s">
        <v>313</v>
      </c>
    </row>
    <row r="38" spans="1:17" ht="14" thickBot="1" x14ac:dyDescent="0.2">
      <c r="A38" s="237"/>
      <c r="B38" s="6"/>
      <c r="C38" s="46"/>
      <c r="D38" s="2"/>
      <c r="E38" s="6"/>
      <c r="F38" s="46"/>
      <c r="G38" s="46"/>
      <c r="H38" s="2"/>
      <c r="I38" s="55"/>
      <c r="J38" s="6">
        <v>14</v>
      </c>
      <c r="K38" s="46"/>
      <c r="L38" s="76">
        <v>54</v>
      </c>
      <c r="M38" s="46" t="s">
        <v>234</v>
      </c>
      <c r="N38" s="76">
        <v>74</v>
      </c>
      <c r="O38" s="46"/>
      <c r="P38" s="76">
        <v>93</v>
      </c>
      <c r="Q38" s="55" t="s">
        <v>314</v>
      </c>
    </row>
    <row r="39" spans="1:17" x14ac:dyDescent="0.15">
      <c r="A39" s="235" t="s">
        <v>254</v>
      </c>
      <c r="B39" s="7"/>
      <c r="C39" s="48"/>
      <c r="D39" s="1"/>
      <c r="E39" s="45"/>
      <c r="F39" s="50"/>
      <c r="G39" s="50"/>
      <c r="H39" s="1"/>
      <c r="I39" s="54"/>
      <c r="J39" s="74" t="s">
        <v>126</v>
      </c>
      <c r="K39" s="7"/>
      <c r="L39" s="74" t="s">
        <v>132</v>
      </c>
      <c r="M39" s="1"/>
      <c r="N39" s="74" t="s">
        <v>138</v>
      </c>
      <c r="O39" s="1"/>
      <c r="P39" s="74" t="s">
        <v>142</v>
      </c>
      <c r="Q39" s="10"/>
    </row>
    <row r="40" spans="1:17" x14ac:dyDescent="0.15">
      <c r="A40" s="236"/>
      <c r="B40" s="7"/>
      <c r="C40" s="48"/>
      <c r="D40" s="1"/>
      <c r="E40" s="45"/>
      <c r="F40" s="50"/>
      <c r="G40" s="50"/>
      <c r="H40" s="1"/>
      <c r="I40" s="54"/>
      <c r="J40" s="7">
        <v>41</v>
      </c>
      <c r="K40" s="48"/>
      <c r="L40" s="75">
        <v>55</v>
      </c>
      <c r="M40" s="1"/>
      <c r="N40" s="1">
        <v>80</v>
      </c>
      <c r="O40" s="1"/>
      <c r="P40" s="74">
        <v>127</v>
      </c>
      <c r="Q40" s="10"/>
    </row>
    <row r="41" spans="1:17" ht="14" thickBot="1" x14ac:dyDescent="0.2">
      <c r="A41" s="237"/>
      <c r="B41" s="7"/>
      <c r="C41" s="48"/>
      <c r="D41" s="1"/>
      <c r="E41" s="48"/>
      <c r="F41" s="7"/>
      <c r="G41" s="7"/>
      <c r="H41" s="1"/>
      <c r="I41" s="54"/>
      <c r="J41" s="7">
        <v>42</v>
      </c>
      <c r="K41" s="48"/>
      <c r="L41" s="7">
        <v>61</v>
      </c>
      <c r="M41" s="7"/>
      <c r="N41" s="7">
        <v>80</v>
      </c>
      <c r="O41" s="7"/>
      <c r="P41" s="74">
        <v>128</v>
      </c>
      <c r="Q41" s="10"/>
    </row>
    <row r="42" spans="1:17" x14ac:dyDescent="0.15">
      <c r="A42" s="235" t="s">
        <v>255</v>
      </c>
      <c r="B42" s="14"/>
      <c r="C42" s="47"/>
      <c r="D42" s="12"/>
      <c r="E42" s="44"/>
      <c r="F42" s="49"/>
      <c r="G42" s="49"/>
      <c r="H42" s="12"/>
      <c r="I42" s="56"/>
      <c r="J42" s="74" t="s">
        <v>127</v>
      </c>
      <c r="K42" s="14"/>
      <c r="L42" s="74" t="s">
        <v>133</v>
      </c>
      <c r="M42" s="12"/>
      <c r="N42" s="73">
        <v>21</v>
      </c>
      <c r="O42" s="12" t="s">
        <v>23</v>
      </c>
      <c r="P42" s="74" t="s">
        <v>143</v>
      </c>
      <c r="Q42" s="13"/>
    </row>
    <row r="43" spans="1:17" x14ac:dyDescent="0.15">
      <c r="A43" s="236"/>
      <c r="B43" s="7"/>
      <c r="C43" s="48"/>
      <c r="D43" s="1"/>
      <c r="E43" s="45"/>
      <c r="F43" s="50"/>
      <c r="G43" s="50"/>
      <c r="H43" s="1"/>
      <c r="I43" s="54"/>
      <c r="J43" s="74">
        <v>25</v>
      </c>
      <c r="K43" s="7"/>
      <c r="L43" s="1">
        <v>48</v>
      </c>
      <c r="M43" s="1"/>
      <c r="N43" s="75">
        <v>21</v>
      </c>
      <c r="O43" s="1" t="s">
        <v>35</v>
      </c>
      <c r="P43" s="74">
        <v>132</v>
      </c>
      <c r="Q43" s="10"/>
    </row>
    <row r="44" spans="1:17" ht="14" thickBot="1" x14ac:dyDescent="0.2">
      <c r="A44" s="237"/>
      <c r="B44" s="6"/>
      <c r="C44" s="46"/>
      <c r="D44" s="2"/>
      <c r="E44" s="46"/>
      <c r="F44" s="46"/>
      <c r="G44" s="46"/>
      <c r="H44" s="2"/>
      <c r="I44" s="55"/>
      <c r="J44" s="76">
        <v>27</v>
      </c>
      <c r="K44" s="6"/>
      <c r="L44" s="6">
        <v>48</v>
      </c>
      <c r="M44" s="6"/>
      <c r="N44" s="76">
        <v>21</v>
      </c>
      <c r="O44" s="6" t="s">
        <v>36</v>
      </c>
      <c r="P44" s="6">
        <v>137</v>
      </c>
      <c r="Q44" s="3"/>
    </row>
    <row r="45" spans="1:17" x14ac:dyDescent="0.15">
      <c r="A45" s="235" t="s">
        <v>346</v>
      </c>
      <c r="B45" s="7"/>
      <c r="C45" s="7"/>
      <c r="D45" s="1"/>
      <c r="E45" s="45"/>
      <c r="F45" s="50"/>
      <c r="G45" s="50"/>
      <c r="H45" s="1"/>
      <c r="I45" s="54"/>
      <c r="J45" s="74" t="s">
        <v>128</v>
      </c>
      <c r="K45" s="7"/>
      <c r="L45" s="74" t="s">
        <v>134</v>
      </c>
      <c r="M45" s="1"/>
      <c r="N45" s="74" t="s">
        <v>139</v>
      </c>
      <c r="O45" s="1"/>
      <c r="P45" s="74" t="s">
        <v>144</v>
      </c>
      <c r="Q45" s="10"/>
    </row>
    <row r="46" spans="1:17" x14ac:dyDescent="0.15">
      <c r="A46" s="236"/>
      <c r="B46" s="7"/>
      <c r="C46" s="48"/>
      <c r="D46" s="1"/>
      <c r="E46" s="45"/>
      <c r="F46" s="50"/>
      <c r="G46" s="50"/>
      <c r="H46" s="1"/>
      <c r="I46" s="54"/>
      <c r="J46" s="74">
        <v>33</v>
      </c>
      <c r="K46" s="1" t="s">
        <v>23</v>
      </c>
      <c r="L46" s="75">
        <v>60</v>
      </c>
      <c r="M46" s="1"/>
      <c r="N46" s="1">
        <v>102</v>
      </c>
      <c r="O46" s="1"/>
      <c r="P46" s="74">
        <v>44</v>
      </c>
      <c r="Q46" s="54" t="s">
        <v>310</v>
      </c>
    </row>
    <row r="47" spans="1:17" ht="14" thickBot="1" x14ac:dyDescent="0.2">
      <c r="A47" s="237"/>
      <c r="B47" s="6"/>
      <c r="C47" s="46"/>
      <c r="D47" s="2"/>
      <c r="E47" s="46"/>
      <c r="F47" s="46"/>
      <c r="G47" s="46"/>
      <c r="H47" s="2"/>
      <c r="I47" s="55"/>
      <c r="J47" s="76">
        <v>33</v>
      </c>
      <c r="K47" s="6" t="s">
        <v>403</v>
      </c>
      <c r="L47" s="76">
        <v>63</v>
      </c>
      <c r="M47" s="6"/>
      <c r="N47" s="6">
        <v>102</v>
      </c>
      <c r="O47" s="6"/>
      <c r="P47" s="76">
        <v>44</v>
      </c>
      <c r="Q47" s="55" t="s">
        <v>315</v>
      </c>
    </row>
    <row r="48" spans="1:17" x14ac:dyDescent="0.15">
      <c r="J48" t="s">
        <v>317</v>
      </c>
    </row>
    <row r="50" spans="1:17" ht="14" thickBot="1" x14ac:dyDescent="0.2">
      <c r="J50" t="s">
        <v>316</v>
      </c>
    </row>
    <row r="51" spans="1:17" x14ac:dyDescent="0.15">
      <c r="B51" s="14" t="s">
        <v>60</v>
      </c>
      <c r="C51" s="14" t="s">
        <v>60</v>
      </c>
      <c r="D51" s="14" t="s">
        <v>60</v>
      </c>
      <c r="E51" s="14" t="s">
        <v>60</v>
      </c>
      <c r="F51" s="14" t="s">
        <v>60</v>
      </c>
      <c r="G51" s="14" t="s">
        <v>60</v>
      </c>
      <c r="H51" s="14" t="s">
        <v>60</v>
      </c>
      <c r="I51" s="14" t="s">
        <v>60</v>
      </c>
      <c r="J51" s="43" t="s">
        <v>238</v>
      </c>
      <c r="K51" s="43" t="s">
        <v>238</v>
      </c>
      <c r="L51" s="43" t="s">
        <v>238</v>
      </c>
      <c r="M51" s="43" t="s">
        <v>238</v>
      </c>
      <c r="N51" s="43" t="s">
        <v>238</v>
      </c>
      <c r="O51" s="43" t="s">
        <v>238</v>
      </c>
      <c r="P51" s="43" t="s">
        <v>238</v>
      </c>
      <c r="Q51" s="43" t="s">
        <v>238</v>
      </c>
    </row>
    <row r="52" spans="1:17" ht="14" thickBot="1" x14ac:dyDescent="0.2">
      <c r="B52" s="251" t="s">
        <v>240</v>
      </c>
      <c r="C52" s="242"/>
      <c r="D52" s="243" t="s">
        <v>390</v>
      </c>
      <c r="E52" s="242"/>
      <c r="F52" s="243" t="s">
        <v>391</v>
      </c>
      <c r="G52" s="242"/>
      <c r="H52" s="243" t="s">
        <v>392</v>
      </c>
      <c r="I52" s="244"/>
      <c r="J52" s="251" t="s">
        <v>61</v>
      </c>
      <c r="K52" s="242"/>
      <c r="L52" s="243" t="s">
        <v>62</v>
      </c>
      <c r="M52" s="242"/>
      <c r="N52" s="243" t="s">
        <v>63</v>
      </c>
      <c r="O52" s="242"/>
      <c r="P52" s="243" t="s">
        <v>64</v>
      </c>
      <c r="Q52" s="244"/>
    </row>
    <row r="53" spans="1:17" x14ac:dyDescent="0.15">
      <c r="A53" s="248" t="s">
        <v>407</v>
      </c>
      <c r="B53" s="72">
        <v>1</v>
      </c>
      <c r="C53" s="14"/>
      <c r="D53" s="83">
        <v>103</v>
      </c>
      <c r="E53" s="44" t="s">
        <v>226</v>
      </c>
      <c r="F53" s="49">
        <v>144</v>
      </c>
      <c r="G53" s="49" t="s">
        <v>9</v>
      </c>
      <c r="H53" s="83">
        <v>23</v>
      </c>
      <c r="I53" s="13"/>
      <c r="J53" s="72">
        <v>117</v>
      </c>
      <c r="K53" s="12" t="s">
        <v>15</v>
      </c>
      <c r="L53" s="73">
        <v>22</v>
      </c>
      <c r="M53" s="12"/>
      <c r="N53" s="73">
        <v>117</v>
      </c>
      <c r="O53" s="12" t="s">
        <v>15</v>
      </c>
      <c r="P53" s="72">
        <v>22</v>
      </c>
      <c r="Q53" s="13"/>
    </row>
    <row r="54" spans="1:17" x14ac:dyDescent="0.15">
      <c r="A54" s="249"/>
      <c r="B54" s="74">
        <v>2</v>
      </c>
      <c r="C54" s="7"/>
      <c r="D54" s="84">
        <v>103</v>
      </c>
      <c r="E54" s="45" t="s">
        <v>227</v>
      </c>
      <c r="F54" s="50">
        <v>144</v>
      </c>
      <c r="G54" s="50" t="s">
        <v>13</v>
      </c>
      <c r="H54" s="84">
        <v>65</v>
      </c>
      <c r="I54" s="54" t="s">
        <v>206</v>
      </c>
      <c r="J54" s="74">
        <v>117</v>
      </c>
      <c r="K54" s="45" t="s">
        <v>16</v>
      </c>
      <c r="L54" s="75">
        <v>75</v>
      </c>
      <c r="M54" s="45" t="s">
        <v>229</v>
      </c>
      <c r="N54" s="75">
        <v>117</v>
      </c>
      <c r="O54" s="45" t="s">
        <v>16</v>
      </c>
      <c r="P54" s="74">
        <v>75</v>
      </c>
      <c r="Q54" s="10" t="s">
        <v>229</v>
      </c>
    </row>
    <row r="55" spans="1:17" ht="14" thickBot="1" x14ac:dyDescent="0.2">
      <c r="A55" s="250"/>
      <c r="B55" s="76">
        <v>3</v>
      </c>
      <c r="C55" s="6"/>
      <c r="D55" s="85">
        <v>103</v>
      </c>
      <c r="E55" s="46" t="s">
        <v>228</v>
      </c>
      <c r="F55" s="46">
        <v>144</v>
      </c>
      <c r="G55" s="46" t="s">
        <v>14</v>
      </c>
      <c r="H55" s="85">
        <v>65</v>
      </c>
      <c r="I55" s="55" t="s">
        <v>4</v>
      </c>
      <c r="J55" s="76">
        <v>117</v>
      </c>
      <c r="K55" s="46" t="s">
        <v>17</v>
      </c>
      <c r="L55" s="76">
        <v>75</v>
      </c>
      <c r="M55" s="46" t="s">
        <v>230</v>
      </c>
      <c r="N55" s="76">
        <v>117</v>
      </c>
      <c r="O55" s="46" t="s">
        <v>17</v>
      </c>
      <c r="P55" s="76">
        <v>75</v>
      </c>
      <c r="Q55" s="3" t="s">
        <v>230</v>
      </c>
    </row>
    <row r="56" spans="1:17" x14ac:dyDescent="0.15">
      <c r="A56" s="235" t="s">
        <v>408</v>
      </c>
      <c r="B56" s="14">
        <v>6</v>
      </c>
      <c r="C56" s="14"/>
      <c r="D56" s="12">
        <v>30</v>
      </c>
      <c r="E56" s="47" t="s">
        <v>382</v>
      </c>
      <c r="F56" s="86">
        <v>49</v>
      </c>
      <c r="G56" s="47" t="s">
        <v>204</v>
      </c>
      <c r="H56" s="12">
        <v>72</v>
      </c>
      <c r="I56" s="56" t="s">
        <v>206</v>
      </c>
      <c r="J56" s="14" t="s">
        <v>318</v>
      </c>
      <c r="K56" s="52"/>
      <c r="L56" s="74" t="s">
        <v>130</v>
      </c>
      <c r="M56" s="14"/>
      <c r="N56" s="74" t="s">
        <v>135</v>
      </c>
      <c r="O56" s="14"/>
      <c r="P56" s="74" t="s">
        <v>145</v>
      </c>
      <c r="Q56" s="13"/>
    </row>
    <row r="57" spans="1:17" x14ac:dyDescent="0.15">
      <c r="A57" s="236"/>
      <c r="B57" s="7" t="s">
        <v>286</v>
      </c>
      <c r="C57" s="77" t="s">
        <v>146</v>
      </c>
      <c r="D57" s="1">
        <v>30</v>
      </c>
      <c r="E57" s="45" t="s">
        <v>264</v>
      </c>
      <c r="F57" s="80">
        <v>49</v>
      </c>
      <c r="G57" s="50" t="s">
        <v>19</v>
      </c>
      <c r="H57" s="1">
        <v>72</v>
      </c>
      <c r="I57" s="54" t="s">
        <v>4</v>
      </c>
      <c r="J57" s="7">
        <v>7</v>
      </c>
      <c r="K57" s="78" t="s">
        <v>148</v>
      </c>
      <c r="L57" s="1">
        <v>39</v>
      </c>
      <c r="M57" s="45" t="s">
        <v>382</v>
      </c>
      <c r="N57" s="1">
        <v>70</v>
      </c>
      <c r="O57" s="45" t="s">
        <v>21</v>
      </c>
      <c r="P57" s="7">
        <v>81</v>
      </c>
      <c r="Q57" s="10"/>
    </row>
    <row r="58" spans="1:17" ht="14" thickBot="1" x14ac:dyDescent="0.2">
      <c r="A58" s="237"/>
      <c r="B58" s="6" t="s">
        <v>286</v>
      </c>
      <c r="C58" s="6" t="s">
        <v>147</v>
      </c>
      <c r="D58" s="2">
        <v>30</v>
      </c>
      <c r="E58" s="46" t="s">
        <v>265</v>
      </c>
      <c r="F58" s="81">
        <v>49</v>
      </c>
      <c r="G58" s="46" t="s">
        <v>20</v>
      </c>
      <c r="H58" s="2">
        <v>72</v>
      </c>
      <c r="I58" s="55" t="s">
        <v>70</v>
      </c>
      <c r="J58" s="6">
        <v>7</v>
      </c>
      <c r="K58" s="46" t="s">
        <v>149</v>
      </c>
      <c r="L58" s="6">
        <v>39</v>
      </c>
      <c r="M58" s="46" t="s">
        <v>266</v>
      </c>
      <c r="N58" s="6">
        <v>70</v>
      </c>
      <c r="O58" s="46" t="s">
        <v>22</v>
      </c>
      <c r="P58" s="6">
        <v>119</v>
      </c>
      <c r="Q58" s="3"/>
    </row>
    <row r="59" spans="1:17" x14ac:dyDescent="0.15">
      <c r="A59" s="235" t="s">
        <v>252</v>
      </c>
      <c r="B59" s="7" t="s">
        <v>287</v>
      </c>
      <c r="C59" s="48" t="s">
        <v>150</v>
      </c>
      <c r="D59" s="1">
        <v>36</v>
      </c>
      <c r="E59" s="45" t="s">
        <v>150</v>
      </c>
      <c r="F59" s="80">
        <v>67</v>
      </c>
      <c r="G59" s="50" t="s">
        <v>152</v>
      </c>
      <c r="H59" s="1">
        <v>101</v>
      </c>
      <c r="I59" s="54" t="s">
        <v>71</v>
      </c>
      <c r="J59" s="74" t="s">
        <v>225</v>
      </c>
      <c r="K59" s="7"/>
      <c r="L59" s="74" t="s">
        <v>131</v>
      </c>
      <c r="M59" s="1"/>
      <c r="N59" s="74" t="s">
        <v>136</v>
      </c>
      <c r="O59" s="1"/>
      <c r="P59" s="74" t="s">
        <v>140</v>
      </c>
      <c r="Q59" s="10"/>
    </row>
    <row r="60" spans="1:17" x14ac:dyDescent="0.15">
      <c r="A60" s="236"/>
      <c r="B60" s="7" t="s">
        <v>287</v>
      </c>
      <c r="C60" s="48" t="s">
        <v>151</v>
      </c>
      <c r="D60" s="1">
        <v>36</v>
      </c>
      <c r="E60" s="45" t="s">
        <v>270</v>
      </c>
      <c r="F60" s="80">
        <v>67</v>
      </c>
      <c r="G60" s="50" t="s">
        <v>24</v>
      </c>
      <c r="H60" s="1">
        <v>101</v>
      </c>
      <c r="I60" s="54" t="s">
        <v>72</v>
      </c>
      <c r="J60" s="7">
        <v>12</v>
      </c>
      <c r="K60" s="7"/>
      <c r="L60" s="1">
        <v>52</v>
      </c>
      <c r="M60" s="1"/>
      <c r="N60" s="1">
        <v>73</v>
      </c>
      <c r="O60" s="1" t="s">
        <v>9</v>
      </c>
      <c r="P60" s="7">
        <v>87</v>
      </c>
      <c r="Q60" s="54" t="s">
        <v>312</v>
      </c>
    </row>
    <row r="61" spans="1:17" ht="14" thickBot="1" x14ac:dyDescent="0.2">
      <c r="A61" s="237"/>
      <c r="B61" s="7">
        <v>11</v>
      </c>
      <c r="C61" s="7"/>
      <c r="D61" s="1">
        <v>36</v>
      </c>
      <c r="E61" s="48" t="s">
        <v>271</v>
      </c>
      <c r="F61" s="82">
        <v>67</v>
      </c>
      <c r="G61" s="48" t="s">
        <v>25</v>
      </c>
      <c r="H61" s="1">
        <v>101</v>
      </c>
      <c r="I61" s="54" t="s">
        <v>73</v>
      </c>
      <c r="J61" s="7">
        <v>13</v>
      </c>
      <c r="K61" s="7"/>
      <c r="L61" s="7">
        <v>53</v>
      </c>
      <c r="M61" s="7"/>
      <c r="N61" s="7">
        <v>73</v>
      </c>
      <c r="O61" s="7" t="s">
        <v>26</v>
      </c>
      <c r="P61" s="7">
        <v>87</v>
      </c>
      <c r="Q61" s="54" t="s">
        <v>311</v>
      </c>
    </row>
    <row r="62" spans="1:17" x14ac:dyDescent="0.15">
      <c r="A62" s="235" t="s">
        <v>253</v>
      </c>
      <c r="B62" s="87">
        <v>17</v>
      </c>
      <c r="C62" s="47" t="s">
        <v>152</v>
      </c>
      <c r="D62" s="12">
        <v>38</v>
      </c>
      <c r="E62" s="44" t="s">
        <v>229</v>
      </c>
      <c r="F62" s="79">
        <v>88</v>
      </c>
      <c r="G62" s="49" t="s">
        <v>27</v>
      </c>
      <c r="H62" s="12">
        <v>102</v>
      </c>
      <c r="I62" s="56" t="s">
        <v>74</v>
      </c>
      <c r="J62" s="74" t="s">
        <v>125</v>
      </c>
      <c r="K62" s="14"/>
      <c r="L62" s="74" t="s">
        <v>129</v>
      </c>
      <c r="M62" s="12"/>
      <c r="N62" s="73" t="s">
        <v>137</v>
      </c>
      <c r="O62" s="12"/>
      <c r="P62" s="74" t="s">
        <v>141</v>
      </c>
      <c r="Q62" s="13"/>
    </row>
    <row r="63" spans="1:17" x14ac:dyDescent="0.15">
      <c r="A63" s="236"/>
      <c r="B63" s="88">
        <v>17</v>
      </c>
      <c r="C63" s="48" t="s">
        <v>153</v>
      </c>
      <c r="D63" s="1">
        <v>38</v>
      </c>
      <c r="E63" s="45" t="s">
        <v>233</v>
      </c>
      <c r="F63" s="80">
        <v>88</v>
      </c>
      <c r="G63" s="50" t="s">
        <v>28</v>
      </c>
      <c r="H63" s="1">
        <v>102</v>
      </c>
      <c r="I63" s="54" t="s">
        <v>75</v>
      </c>
      <c r="J63" s="7">
        <v>16</v>
      </c>
      <c r="K63" s="48" t="s">
        <v>155</v>
      </c>
      <c r="L63" s="1">
        <v>54</v>
      </c>
      <c r="M63" s="45" t="s">
        <v>235</v>
      </c>
      <c r="N63" s="1">
        <v>69</v>
      </c>
      <c r="O63" s="45"/>
      <c r="P63" s="7">
        <v>93</v>
      </c>
      <c r="Q63" s="54" t="s">
        <v>313</v>
      </c>
    </row>
    <row r="64" spans="1:17" ht="14" thickBot="1" x14ac:dyDescent="0.2">
      <c r="A64" s="237"/>
      <c r="B64" s="89">
        <v>17</v>
      </c>
      <c r="C64" s="46" t="s">
        <v>154</v>
      </c>
      <c r="D64" s="2">
        <v>51</v>
      </c>
      <c r="E64" s="6"/>
      <c r="F64" s="81">
        <v>88</v>
      </c>
      <c r="G64" s="46" t="s">
        <v>29</v>
      </c>
      <c r="H64" s="2">
        <v>102</v>
      </c>
      <c r="I64" s="55" t="s">
        <v>76</v>
      </c>
      <c r="J64" s="6">
        <v>16</v>
      </c>
      <c r="K64" s="46" t="s">
        <v>156</v>
      </c>
      <c r="L64" s="6">
        <v>54</v>
      </c>
      <c r="M64" s="46" t="s">
        <v>234</v>
      </c>
      <c r="N64" s="6">
        <v>74</v>
      </c>
      <c r="O64" s="46"/>
      <c r="P64" s="6">
        <v>93</v>
      </c>
      <c r="Q64" s="55" t="s">
        <v>314</v>
      </c>
    </row>
    <row r="65" spans="1:17" x14ac:dyDescent="0.15">
      <c r="A65" s="235" t="s">
        <v>254</v>
      </c>
      <c r="B65" s="88">
        <v>17</v>
      </c>
      <c r="C65" s="48" t="s">
        <v>157</v>
      </c>
      <c r="D65" s="1">
        <v>43</v>
      </c>
      <c r="E65" s="45" t="s">
        <v>382</v>
      </c>
      <c r="F65" s="80">
        <v>88</v>
      </c>
      <c r="G65" s="50" t="s">
        <v>30</v>
      </c>
      <c r="H65" s="1">
        <v>43</v>
      </c>
      <c r="I65" s="54" t="s">
        <v>382</v>
      </c>
      <c r="J65" s="74" t="s">
        <v>126</v>
      </c>
      <c r="K65" s="7"/>
      <c r="L65" s="74" t="s">
        <v>132</v>
      </c>
      <c r="M65" s="1"/>
      <c r="N65" s="74" t="s">
        <v>138</v>
      </c>
      <c r="O65" s="1"/>
      <c r="P65" s="74" t="s">
        <v>142</v>
      </c>
      <c r="Q65" s="10"/>
    </row>
    <row r="66" spans="1:17" x14ac:dyDescent="0.15">
      <c r="A66" s="236"/>
      <c r="B66" s="88">
        <v>17</v>
      </c>
      <c r="C66" s="48" t="s">
        <v>298</v>
      </c>
      <c r="D66" s="1">
        <v>43</v>
      </c>
      <c r="E66" s="45" t="s">
        <v>236</v>
      </c>
      <c r="F66" s="80">
        <v>88</v>
      </c>
      <c r="G66" s="50" t="s">
        <v>31</v>
      </c>
      <c r="H66" s="1">
        <v>43</v>
      </c>
      <c r="I66" s="54" t="s">
        <v>236</v>
      </c>
      <c r="J66" s="7">
        <v>24</v>
      </c>
      <c r="K66" s="48" t="s">
        <v>155</v>
      </c>
      <c r="L66" s="1">
        <v>55</v>
      </c>
      <c r="M66" s="1"/>
      <c r="N66" s="1">
        <v>78</v>
      </c>
      <c r="O66" s="1"/>
      <c r="P66" s="7">
        <v>127</v>
      </c>
      <c r="Q66" s="10"/>
    </row>
    <row r="67" spans="1:17" ht="14" thickBot="1" x14ac:dyDescent="0.2">
      <c r="A67" s="237"/>
      <c r="B67" s="88">
        <v>17</v>
      </c>
      <c r="C67" s="48" t="s">
        <v>299</v>
      </c>
      <c r="D67" s="1">
        <v>43</v>
      </c>
      <c r="E67" s="48" t="s">
        <v>278</v>
      </c>
      <c r="F67" s="7">
        <v>89</v>
      </c>
      <c r="G67" s="7"/>
      <c r="H67" s="1">
        <v>43</v>
      </c>
      <c r="I67" s="54" t="s">
        <v>278</v>
      </c>
      <c r="J67" s="7">
        <v>24</v>
      </c>
      <c r="K67" s="48" t="s">
        <v>300</v>
      </c>
      <c r="L67" s="7">
        <v>56</v>
      </c>
      <c r="M67" s="7"/>
      <c r="N67" s="7">
        <v>79</v>
      </c>
      <c r="O67" s="7"/>
      <c r="P67" s="7">
        <v>128</v>
      </c>
      <c r="Q67" s="10"/>
    </row>
    <row r="68" spans="1:17" x14ac:dyDescent="0.15">
      <c r="A68" s="235" t="s">
        <v>255</v>
      </c>
      <c r="B68" s="14">
        <v>34</v>
      </c>
      <c r="C68" s="47" t="s">
        <v>301</v>
      </c>
      <c r="D68" s="12">
        <v>37</v>
      </c>
      <c r="E68" s="44" t="s">
        <v>6</v>
      </c>
      <c r="F68" s="49">
        <v>68</v>
      </c>
      <c r="G68" s="49" t="s">
        <v>146</v>
      </c>
      <c r="H68" s="12">
        <v>54</v>
      </c>
      <c r="I68" s="56" t="s">
        <v>279</v>
      </c>
      <c r="J68" s="74" t="s">
        <v>127</v>
      </c>
      <c r="K68" s="14"/>
      <c r="L68" s="74" t="s">
        <v>133</v>
      </c>
      <c r="M68" s="12"/>
      <c r="N68" s="73">
        <v>21</v>
      </c>
      <c r="O68" s="12" t="s">
        <v>152</v>
      </c>
      <c r="P68" s="74" t="s">
        <v>143</v>
      </c>
      <c r="Q68" s="13"/>
    </row>
    <row r="69" spans="1:17" x14ac:dyDescent="0.15">
      <c r="A69" s="236"/>
      <c r="B69" s="7">
        <v>34</v>
      </c>
      <c r="C69" s="48" t="s">
        <v>302</v>
      </c>
      <c r="D69" s="1">
        <v>37</v>
      </c>
      <c r="E69" s="45" t="s">
        <v>7</v>
      </c>
      <c r="F69" s="50">
        <v>68</v>
      </c>
      <c r="G69" s="50" t="s">
        <v>33</v>
      </c>
      <c r="H69" s="1">
        <v>54</v>
      </c>
      <c r="I69" s="54" t="s">
        <v>280</v>
      </c>
      <c r="J69" s="7">
        <v>25</v>
      </c>
      <c r="K69" s="7"/>
      <c r="L69" s="1">
        <v>58</v>
      </c>
      <c r="M69" s="1"/>
      <c r="N69" s="75">
        <v>21</v>
      </c>
      <c r="O69" s="1" t="s">
        <v>35</v>
      </c>
      <c r="P69" s="7">
        <v>132</v>
      </c>
      <c r="Q69" s="10"/>
    </row>
    <row r="70" spans="1:17" ht="14" thickBot="1" x14ac:dyDescent="0.2">
      <c r="A70" s="237"/>
      <c r="B70" s="6">
        <v>34</v>
      </c>
      <c r="C70" s="46" t="s">
        <v>303</v>
      </c>
      <c r="D70" s="2">
        <v>37</v>
      </c>
      <c r="E70" s="46" t="s">
        <v>8</v>
      </c>
      <c r="F70" s="46">
        <v>68</v>
      </c>
      <c r="G70" s="46" t="s">
        <v>34</v>
      </c>
      <c r="H70" s="2">
        <v>54</v>
      </c>
      <c r="I70" s="55" t="s">
        <v>281</v>
      </c>
      <c r="J70" s="6">
        <v>27</v>
      </c>
      <c r="K70" s="6"/>
      <c r="L70" s="6">
        <v>59</v>
      </c>
      <c r="M70" s="6"/>
      <c r="N70" s="76">
        <v>21</v>
      </c>
      <c r="O70" s="6" t="s">
        <v>36</v>
      </c>
      <c r="P70" s="6">
        <v>139</v>
      </c>
      <c r="Q70" s="3"/>
    </row>
    <row r="71" spans="1:17" x14ac:dyDescent="0.15">
      <c r="A71" s="235" t="s">
        <v>256</v>
      </c>
      <c r="B71" s="7">
        <v>130</v>
      </c>
      <c r="C71" s="7"/>
      <c r="D71" s="1">
        <v>135</v>
      </c>
      <c r="E71" s="45" t="s">
        <v>9</v>
      </c>
      <c r="F71" s="50">
        <v>106</v>
      </c>
      <c r="G71" s="50" t="s">
        <v>409</v>
      </c>
      <c r="H71" s="84">
        <v>49</v>
      </c>
      <c r="I71" s="54" t="s">
        <v>204</v>
      </c>
      <c r="J71" s="74" t="s">
        <v>128</v>
      </c>
      <c r="K71" s="7"/>
      <c r="L71" s="74" t="s">
        <v>134</v>
      </c>
      <c r="M71" s="1"/>
      <c r="N71" s="74" t="s">
        <v>139</v>
      </c>
      <c r="O71" s="1"/>
      <c r="P71" s="74" t="s">
        <v>144</v>
      </c>
      <c r="Q71" s="10"/>
    </row>
    <row r="72" spans="1:17" x14ac:dyDescent="0.15">
      <c r="A72" s="236"/>
      <c r="B72" s="7">
        <v>131</v>
      </c>
      <c r="C72" s="48" t="s">
        <v>301</v>
      </c>
      <c r="D72" s="1">
        <v>135</v>
      </c>
      <c r="E72" s="45" t="s">
        <v>10</v>
      </c>
      <c r="F72" s="50">
        <v>106</v>
      </c>
      <c r="G72" s="50" t="s">
        <v>410</v>
      </c>
      <c r="H72" s="84">
        <v>49</v>
      </c>
      <c r="I72" s="54" t="s">
        <v>282</v>
      </c>
      <c r="J72" s="7">
        <v>33</v>
      </c>
      <c r="K72" s="1" t="s">
        <v>152</v>
      </c>
      <c r="L72" s="1">
        <v>60</v>
      </c>
      <c r="M72" s="1"/>
      <c r="N72" s="1">
        <v>33</v>
      </c>
      <c r="O72" s="1" t="s">
        <v>152</v>
      </c>
      <c r="P72" s="7">
        <v>44</v>
      </c>
      <c r="Q72" s="54" t="s">
        <v>310</v>
      </c>
    </row>
    <row r="73" spans="1:17" ht="14" thickBot="1" x14ac:dyDescent="0.2">
      <c r="A73" s="237"/>
      <c r="B73" s="6">
        <v>131</v>
      </c>
      <c r="C73" s="46" t="s">
        <v>149</v>
      </c>
      <c r="D73" s="2">
        <v>135</v>
      </c>
      <c r="E73" s="46" t="s">
        <v>11</v>
      </c>
      <c r="F73" s="46">
        <v>106</v>
      </c>
      <c r="G73" s="46" t="s">
        <v>402</v>
      </c>
      <c r="H73" s="85">
        <v>49</v>
      </c>
      <c r="I73" s="55" t="s">
        <v>283</v>
      </c>
      <c r="J73" s="6">
        <v>33</v>
      </c>
      <c r="K73" s="6" t="s">
        <v>403</v>
      </c>
      <c r="L73" s="6">
        <v>63</v>
      </c>
      <c r="M73" s="6"/>
      <c r="N73" s="6">
        <v>33</v>
      </c>
      <c r="O73" s="6" t="s">
        <v>403</v>
      </c>
      <c r="P73" s="6">
        <v>44</v>
      </c>
      <c r="Q73" s="55" t="s">
        <v>315</v>
      </c>
    </row>
    <row r="74" spans="1:17" x14ac:dyDescent="0.15">
      <c r="J74" t="s">
        <v>316</v>
      </c>
    </row>
  </sheetData>
  <mergeCells count="33">
    <mergeCell ref="A68:A70"/>
    <mergeCell ref="A71:A73"/>
    <mergeCell ref="A3:A5"/>
    <mergeCell ref="A6:A8"/>
    <mergeCell ref="A9:A11"/>
    <mergeCell ref="A12:A14"/>
    <mergeCell ref="A15:A17"/>
    <mergeCell ref="A18:A20"/>
    <mergeCell ref="A21:A23"/>
    <mergeCell ref="A53:A55"/>
    <mergeCell ref="A56:A58"/>
    <mergeCell ref="A59:A61"/>
    <mergeCell ref="A62:A64"/>
    <mergeCell ref="A65:A67"/>
    <mergeCell ref="A42:A44"/>
    <mergeCell ref="A45:A47"/>
    <mergeCell ref="P2:Q2"/>
    <mergeCell ref="A27:A29"/>
    <mergeCell ref="A30:A32"/>
    <mergeCell ref="A33:A35"/>
    <mergeCell ref="A36:A38"/>
    <mergeCell ref="A39:A41"/>
    <mergeCell ref="J2:K2"/>
    <mergeCell ref="L2:M2"/>
    <mergeCell ref="N2:O2"/>
    <mergeCell ref="J52:K52"/>
    <mergeCell ref="L52:M52"/>
    <mergeCell ref="N52:O52"/>
    <mergeCell ref="P52:Q52"/>
    <mergeCell ref="B52:C52"/>
    <mergeCell ref="D52:E52"/>
    <mergeCell ref="F52:G52"/>
    <mergeCell ref="H52:I52"/>
  </mergeCells>
  <phoneticPr fontId="1" type="noConversion"/>
  <pageMargins left="0.75000000000000011" right="0.75000000000000011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1"/>
  <sheetViews>
    <sheetView workbookViewId="0">
      <selection activeCell="I33" sqref="I33"/>
    </sheetView>
  </sheetViews>
  <sheetFormatPr baseColWidth="10" defaultRowHeight="13" x14ac:dyDescent="0.15"/>
  <sheetData>
    <row r="1" spans="1:14" x14ac:dyDescent="0.15">
      <c r="A1" s="26"/>
      <c r="B1" s="265" t="s">
        <v>239</v>
      </c>
      <c r="C1" s="265"/>
      <c r="D1" s="265"/>
      <c r="E1" s="265"/>
      <c r="F1" s="260"/>
      <c r="G1" s="238" t="s">
        <v>393</v>
      </c>
      <c r="H1" s="240"/>
      <c r="I1" s="238" t="s">
        <v>238</v>
      </c>
      <c r="J1" s="239"/>
      <c r="K1" s="239"/>
      <c r="L1" s="240"/>
      <c r="M1" s="238" t="s">
        <v>394</v>
      </c>
      <c r="N1" s="260"/>
    </row>
    <row r="2" spans="1:14" ht="14" thickBot="1" x14ac:dyDescent="0.2">
      <c r="A2" s="27"/>
      <c r="B2" s="6" t="s">
        <v>240</v>
      </c>
      <c r="C2" s="2" t="s">
        <v>273</v>
      </c>
      <c r="D2" s="2" t="s">
        <v>274</v>
      </c>
      <c r="E2" s="2" t="s">
        <v>275</v>
      </c>
      <c r="F2" s="3" t="s">
        <v>276</v>
      </c>
      <c r="G2" s="8" t="s">
        <v>389</v>
      </c>
      <c r="H2" s="2" t="s">
        <v>390</v>
      </c>
      <c r="I2" s="8" t="s">
        <v>389</v>
      </c>
      <c r="J2" s="2" t="s">
        <v>390</v>
      </c>
      <c r="K2" s="2" t="s">
        <v>391</v>
      </c>
      <c r="L2" s="3" t="s">
        <v>392</v>
      </c>
      <c r="M2" s="6" t="s">
        <v>389</v>
      </c>
      <c r="N2" s="3" t="s">
        <v>390</v>
      </c>
    </row>
    <row r="3" spans="1:14" x14ac:dyDescent="0.15">
      <c r="A3" s="236" t="s">
        <v>346</v>
      </c>
      <c r="B3" s="28"/>
      <c r="C3" s="29"/>
      <c r="D3" s="29"/>
      <c r="E3" s="29"/>
      <c r="F3" s="30"/>
      <c r="G3" s="28"/>
      <c r="H3" s="31"/>
      <c r="I3" s="32"/>
      <c r="J3" s="33"/>
      <c r="K3" s="31"/>
      <c r="L3" s="34"/>
      <c r="M3" s="16">
        <v>139</v>
      </c>
      <c r="N3" s="21">
        <v>141</v>
      </c>
    </row>
    <row r="4" spans="1:14" x14ac:dyDescent="0.15">
      <c r="A4" s="236"/>
      <c r="B4" s="32"/>
      <c r="C4" s="33"/>
      <c r="D4" s="33"/>
      <c r="E4" s="33"/>
      <c r="F4" s="35"/>
      <c r="G4" s="32"/>
      <c r="H4" s="31"/>
      <c r="I4" s="32"/>
      <c r="J4" s="33"/>
      <c r="K4" s="31"/>
      <c r="L4" s="34"/>
      <c r="M4" s="9">
        <v>140</v>
      </c>
      <c r="N4" s="10">
        <v>142</v>
      </c>
    </row>
    <row r="5" spans="1:14" ht="14" thickBot="1" x14ac:dyDescent="0.2">
      <c r="A5" s="237"/>
      <c r="B5" s="36"/>
      <c r="C5" s="37"/>
      <c r="D5" s="37"/>
      <c r="E5" s="37"/>
      <c r="F5" s="38"/>
      <c r="G5" s="32"/>
      <c r="H5" s="31"/>
      <c r="I5" s="32"/>
      <c r="J5" s="33"/>
      <c r="K5" s="31"/>
      <c r="L5" s="34"/>
      <c r="M5" s="22" t="s">
        <v>347</v>
      </c>
      <c r="N5" s="23" t="s">
        <v>347</v>
      </c>
    </row>
    <row r="6" spans="1:14" x14ac:dyDescent="0.15">
      <c r="A6" s="248" t="s">
        <v>407</v>
      </c>
      <c r="B6" s="15">
        <v>15</v>
      </c>
      <c r="C6" s="24">
        <v>26</v>
      </c>
      <c r="D6" s="24">
        <v>35</v>
      </c>
      <c r="E6" s="24">
        <v>17</v>
      </c>
      <c r="F6" s="25">
        <v>85</v>
      </c>
      <c r="G6" s="11">
        <v>62</v>
      </c>
      <c r="H6" s="14">
        <v>62</v>
      </c>
      <c r="I6" s="11">
        <v>117</v>
      </c>
      <c r="J6" s="12">
        <v>92</v>
      </c>
      <c r="K6" s="14">
        <v>117</v>
      </c>
      <c r="L6" s="18">
        <v>92</v>
      </c>
      <c r="M6" s="11">
        <v>109</v>
      </c>
      <c r="N6" s="13">
        <v>109</v>
      </c>
    </row>
    <row r="7" spans="1:14" x14ac:dyDescent="0.15">
      <c r="A7" s="249"/>
      <c r="B7" s="15">
        <v>16</v>
      </c>
      <c r="C7" s="1">
        <v>66</v>
      </c>
      <c r="D7" s="1">
        <v>41</v>
      </c>
      <c r="E7" s="1"/>
      <c r="F7" s="10">
        <v>87</v>
      </c>
      <c r="G7" s="9" t="s">
        <v>277</v>
      </c>
      <c r="H7" s="7" t="s">
        <v>277</v>
      </c>
      <c r="I7" s="9"/>
      <c r="J7" s="1">
        <v>75</v>
      </c>
      <c r="K7" s="7"/>
      <c r="L7" s="19">
        <v>75</v>
      </c>
      <c r="M7" s="9">
        <v>114</v>
      </c>
      <c r="N7" s="10">
        <v>114</v>
      </c>
    </row>
    <row r="8" spans="1:14" ht="14" thickBot="1" x14ac:dyDescent="0.2">
      <c r="A8" s="250"/>
      <c r="B8" s="15">
        <v>90</v>
      </c>
      <c r="C8" s="2">
        <v>83</v>
      </c>
      <c r="D8" s="2">
        <v>45</v>
      </c>
      <c r="E8" s="2"/>
      <c r="F8" s="3">
        <v>29</v>
      </c>
      <c r="G8" s="8">
        <v>149</v>
      </c>
      <c r="H8" s="6">
        <v>149</v>
      </c>
      <c r="I8" s="8"/>
      <c r="J8" s="2"/>
      <c r="K8" s="6"/>
      <c r="L8" s="20"/>
      <c r="M8" s="8" t="s">
        <v>361</v>
      </c>
      <c r="N8" s="3" t="s">
        <v>361</v>
      </c>
    </row>
    <row r="9" spans="1:14" x14ac:dyDescent="0.15">
      <c r="A9" s="248" t="s">
        <v>408</v>
      </c>
      <c r="B9" s="11">
        <v>9</v>
      </c>
      <c r="C9" s="12">
        <v>49</v>
      </c>
      <c r="D9" s="12">
        <v>88</v>
      </c>
      <c r="E9" s="12">
        <v>106</v>
      </c>
      <c r="F9" s="13">
        <v>9</v>
      </c>
      <c r="G9" s="11">
        <v>6</v>
      </c>
      <c r="H9" s="14">
        <v>55</v>
      </c>
      <c r="I9" s="11" t="s">
        <v>245</v>
      </c>
      <c r="J9" s="12" t="s">
        <v>251</v>
      </c>
      <c r="K9" s="12" t="s">
        <v>58</v>
      </c>
      <c r="L9" s="18" t="s">
        <v>340</v>
      </c>
      <c r="M9" s="11" t="s">
        <v>364</v>
      </c>
      <c r="N9" s="13" t="s">
        <v>366</v>
      </c>
    </row>
    <row r="10" spans="1:14" x14ac:dyDescent="0.15">
      <c r="A10" s="249"/>
      <c r="B10" s="9"/>
      <c r="C10" s="1"/>
      <c r="D10" s="1"/>
      <c r="E10" s="1"/>
      <c r="F10" s="10"/>
      <c r="G10" s="9" t="s">
        <v>396</v>
      </c>
      <c r="H10" s="7" t="s">
        <v>309</v>
      </c>
      <c r="I10" s="9">
        <v>5</v>
      </c>
      <c r="J10" s="1">
        <v>33</v>
      </c>
      <c r="K10" s="1">
        <v>89</v>
      </c>
      <c r="L10" s="19">
        <v>127</v>
      </c>
      <c r="M10" s="9" t="s">
        <v>365</v>
      </c>
      <c r="N10" s="10" t="s">
        <v>367</v>
      </c>
    </row>
    <row r="11" spans="1:14" ht="14" thickBot="1" x14ac:dyDescent="0.2">
      <c r="A11" s="250"/>
      <c r="B11" s="8"/>
      <c r="C11" s="2"/>
      <c r="D11" s="2"/>
      <c r="E11" s="2"/>
      <c r="F11" s="3"/>
      <c r="G11" s="8">
        <v>12</v>
      </c>
      <c r="H11" s="6">
        <v>60</v>
      </c>
      <c r="I11" s="8">
        <v>10</v>
      </c>
      <c r="J11" s="2"/>
      <c r="K11" s="2"/>
      <c r="L11" s="20">
        <v>128</v>
      </c>
      <c r="M11" s="8" t="s">
        <v>362</v>
      </c>
      <c r="N11" s="3" t="s">
        <v>362</v>
      </c>
    </row>
    <row r="12" spans="1:14" x14ac:dyDescent="0.15">
      <c r="A12" s="249" t="s">
        <v>252</v>
      </c>
      <c r="B12" s="9">
        <v>11</v>
      </c>
      <c r="C12" s="1">
        <v>67</v>
      </c>
      <c r="D12" s="1">
        <v>103</v>
      </c>
      <c r="E12" s="1">
        <v>130</v>
      </c>
      <c r="F12" s="10">
        <v>11</v>
      </c>
      <c r="G12" s="9">
        <v>25</v>
      </c>
      <c r="H12" s="7">
        <v>57</v>
      </c>
      <c r="I12" s="9" t="s">
        <v>246</v>
      </c>
      <c r="J12" s="1" t="s">
        <v>53</v>
      </c>
      <c r="K12" s="17" t="s">
        <v>59</v>
      </c>
      <c r="L12" s="19" t="s">
        <v>341</v>
      </c>
      <c r="M12" s="9" t="s">
        <v>368</v>
      </c>
      <c r="N12" s="10" t="s">
        <v>165</v>
      </c>
    </row>
    <row r="13" spans="1:14" x14ac:dyDescent="0.15">
      <c r="A13" s="249"/>
      <c r="B13" s="9">
        <v>75</v>
      </c>
      <c r="C13" s="1"/>
      <c r="D13" s="1"/>
      <c r="E13" s="1"/>
      <c r="F13" s="10">
        <v>75</v>
      </c>
      <c r="G13" s="9" t="s">
        <v>304</v>
      </c>
      <c r="H13" s="7" t="s">
        <v>304</v>
      </c>
      <c r="I13" s="9">
        <v>7</v>
      </c>
      <c r="J13" s="1">
        <v>56</v>
      </c>
      <c r="K13" s="1">
        <v>107</v>
      </c>
      <c r="L13" s="19">
        <v>130</v>
      </c>
      <c r="M13" s="9" t="s">
        <v>369</v>
      </c>
      <c r="N13" s="10" t="s">
        <v>166</v>
      </c>
    </row>
    <row r="14" spans="1:14" ht="14" thickBot="1" x14ac:dyDescent="0.2">
      <c r="A14" s="249"/>
      <c r="B14" s="9"/>
      <c r="C14" s="1"/>
      <c r="D14" s="1"/>
      <c r="E14" s="1"/>
      <c r="F14" s="10"/>
      <c r="G14" s="9">
        <v>31</v>
      </c>
      <c r="H14" s="7">
        <v>81</v>
      </c>
      <c r="I14" s="9"/>
      <c r="J14" s="1"/>
      <c r="K14" s="1"/>
      <c r="L14" s="19">
        <v>132</v>
      </c>
      <c r="M14" s="8" t="s">
        <v>363</v>
      </c>
      <c r="N14" s="3" t="s">
        <v>363</v>
      </c>
    </row>
    <row r="15" spans="1:14" x14ac:dyDescent="0.15">
      <c r="A15" s="248" t="s">
        <v>253</v>
      </c>
      <c r="B15" s="11">
        <v>30</v>
      </c>
      <c r="C15" s="12">
        <v>68</v>
      </c>
      <c r="D15" s="12">
        <v>30</v>
      </c>
      <c r="E15" s="12">
        <v>68</v>
      </c>
      <c r="F15" s="13">
        <v>30</v>
      </c>
      <c r="G15" s="11">
        <v>27</v>
      </c>
      <c r="H15" s="14">
        <v>61</v>
      </c>
      <c r="I15" s="11" t="s">
        <v>247</v>
      </c>
      <c r="J15" s="12" t="s">
        <v>54</v>
      </c>
      <c r="K15" s="12" t="s">
        <v>67</v>
      </c>
      <c r="L15" s="18" t="s">
        <v>342</v>
      </c>
      <c r="M15" s="11" t="s">
        <v>384</v>
      </c>
      <c r="N15" s="13" t="s">
        <v>167</v>
      </c>
    </row>
    <row r="16" spans="1:14" x14ac:dyDescent="0.15">
      <c r="A16" s="249"/>
      <c r="B16" s="9"/>
      <c r="C16" s="1"/>
      <c r="D16" s="1"/>
      <c r="E16" s="1"/>
      <c r="F16" s="10"/>
      <c r="G16" s="9" t="s">
        <v>305</v>
      </c>
      <c r="H16" s="7" t="s">
        <v>305</v>
      </c>
      <c r="I16" s="9">
        <v>13</v>
      </c>
      <c r="J16" s="1">
        <v>28</v>
      </c>
      <c r="K16" s="1">
        <v>110</v>
      </c>
      <c r="L16" s="19">
        <v>131</v>
      </c>
      <c r="M16" s="9" t="s">
        <v>385</v>
      </c>
      <c r="N16" s="10" t="s">
        <v>168</v>
      </c>
    </row>
    <row r="17" spans="1:14" ht="14" thickBot="1" x14ac:dyDescent="0.2">
      <c r="A17" s="250"/>
      <c r="B17" s="8"/>
      <c r="C17" s="2"/>
      <c r="D17" s="2"/>
      <c r="E17" s="2"/>
      <c r="F17" s="3"/>
      <c r="G17" s="8">
        <v>96</v>
      </c>
      <c r="H17" s="6">
        <v>63</v>
      </c>
      <c r="I17" s="8">
        <v>14</v>
      </c>
      <c r="J17" s="2">
        <v>59</v>
      </c>
      <c r="K17" s="2">
        <v>111</v>
      </c>
      <c r="L17" s="20"/>
      <c r="M17" s="8" t="s">
        <v>361</v>
      </c>
      <c r="N17" s="3" t="s">
        <v>361</v>
      </c>
    </row>
    <row r="18" spans="1:14" x14ac:dyDescent="0.15">
      <c r="A18" s="249" t="s">
        <v>254</v>
      </c>
      <c r="B18" s="9">
        <v>34</v>
      </c>
      <c r="C18" s="1" t="s">
        <v>173</v>
      </c>
      <c r="D18" s="1">
        <v>104</v>
      </c>
      <c r="E18" s="1">
        <v>135</v>
      </c>
      <c r="F18" s="10">
        <v>34</v>
      </c>
      <c r="G18" s="9">
        <v>40</v>
      </c>
      <c r="H18" s="7">
        <v>69</v>
      </c>
      <c r="I18" s="9" t="s">
        <v>248</v>
      </c>
      <c r="J18" s="1" t="s">
        <v>55</v>
      </c>
      <c r="K18" s="1" t="s">
        <v>68</v>
      </c>
      <c r="L18" s="19" t="s">
        <v>343</v>
      </c>
      <c r="M18" s="9" t="s">
        <v>386</v>
      </c>
      <c r="N18" s="10" t="s">
        <v>169</v>
      </c>
    </row>
    <row r="19" spans="1:14" x14ac:dyDescent="0.15">
      <c r="A19" s="249"/>
      <c r="B19" s="9"/>
      <c r="C19" s="1"/>
      <c r="D19" s="1"/>
      <c r="E19" s="1"/>
      <c r="F19" s="10"/>
      <c r="G19" s="9" t="s">
        <v>306</v>
      </c>
      <c r="H19" s="7" t="s">
        <v>306</v>
      </c>
      <c r="I19" s="9">
        <v>19</v>
      </c>
      <c r="J19" s="1">
        <v>71</v>
      </c>
      <c r="K19" s="1">
        <v>112</v>
      </c>
      <c r="L19" s="19">
        <v>134</v>
      </c>
      <c r="M19" s="9" t="s">
        <v>162</v>
      </c>
      <c r="N19" s="10" t="s">
        <v>170</v>
      </c>
    </row>
    <row r="20" spans="1:14" ht="14" thickBot="1" x14ac:dyDescent="0.2">
      <c r="A20" s="249"/>
      <c r="B20" s="9"/>
      <c r="C20" s="1"/>
      <c r="D20" s="1"/>
      <c r="E20" s="1"/>
      <c r="F20" s="10"/>
      <c r="G20" s="9">
        <v>53</v>
      </c>
      <c r="H20" s="7">
        <v>82</v>
      </c>
      <c r="I20" s="9">
        <v>20</v>
      </c>
      <c r="J20" s="1"/>
      <c r="K20" s="1" t="s">
        <v>69</v>
      </c>
      <c r="L20" s="19"/>
      <c r="M20" s="9" t="s">
        <v>362</v>
      </c>
      <c r="N20" s="10" t="s">
        <v>362</v>
      </c>
    </row>
    <row r="21" spans="1:14" x14ac:dyDescent="0.15">
      <c r="A21" s="248" t="s">
        <v>255</v>
      </c>
      <c r="B21" s="11">
        <v>37</v>
      </c>
      <c r="C21" s="12">
        <v>21</v>
      </c>
      <c r="D21" s="12">
        <v>37</v>
      </c>
      <c r="E21" s="12">
        <v>21</v>
      </c>
      <c r="F21" s="13">
        <v>37</v>
      </c>
      <c r="G21" s="11">
        <v>50</v>
      </c>
      <c r="H21" s="14">
        <v>50</v>
      </c>
      <c r="I21" s="11" t="s">
        <v>249</v>
      </c>
      <c r="J21" s="12" t="s">
        <v>56</v>
      </c>
      <c r="K21" s="12">
        <v>119</v>
      </c>
      <c r="L21" s="18" t="s">
        <v>344</v>
      </c>
      <c r="M21" s="11" t="s">
        <v>163</v>
      </c>
      <c r="N21" s="13" t="s">
        <v>171</v>
      </c>
    </row>
    <row r="22" spans="1:14" x14ac:dyDescent="0.15">
      <c r="A22" s="249"/>
      <c r="B22" s="9">
        <v>38</v>
      </c>
      <c r="C22" s="1"/>
      <c r="D22" s="1">
        <v>38</v>
      </c>
      <c r="E22" s="1"/>
      <c r="F22" s="10">
        <v>38</v>
      </c>
      <c r="G22" s="9" t="s">
        <v>307</v>
      </c>
      <c r="H22" s="7" t="s">
        <v>307</v>
      </c>
      <c r="I22" s="9">
        <v>24</v>
      </c>
      <c r="J22" s="1">
        <v>79</v>
      </c>
      <c r="K22" s="1">
        <v>122</v>
      </c>
      <c r="L22" s="19">
        <v>143</v>
      </c>
      <c r="M22" s="9" t="s">
        <v>164</v>
      </c>
      <c r="N22" s="10" t="s">
        <v>172</v>
      </c>
    </row>
    <row r="23" spans="1:14" ht="14" thickBot="1" x14ac:dyDescent="0.2">
      <c r="A23" s="250"/>
      <c r="B23" s="8"/>
      <c r="C23" s="2"/>
      <c r="D23" s="2"/>
      <c r="E23" s="2"/>
      <c r="F23" s="3"/>
      <c r="G23" s="8">
        <v>56</v>
      </c>
      <c r="H23" s="6">
        <v>100</v>
      </c>
      <c r="I23" s="8"/>
      <c r="J23" s="2"/>
      <c r="K23" s="2">
        <v>123</v>
      </c>
      <c r="L23" s="20"/>
      <c r="M23" s="8" t="s">
        <v>361</v>
      </c>
      <c r="N23" s="3" t="s">
        <v>361</v>
      </c>
    </row>
    <row r="24" spans="1:14" x14ac:dyDescent="0.15">
      <c r="A24" s="249" t="s">
        <v>256</v>
      </c>
      <c r="B24" s="9">
        <v>36</v>
      </c>
      <c r="C24" s="1" t="s">
        <v>174</v>
      </c>
      <c r="D24" s="1">
        <v>105</v>
      </c>
      <c r="E24" s="1">
        <v>144</v>
      </c>
      <c r="F24" s="10">
        <v>108</v>
      </c>
      <c r="G24" s="9">
        <v>51</v>
      </c>
      <c r="H24" s="7">
        <v>74</v>
      </c>
      <c r="I24" s="9" t="s">
        <v>250</v>
      </c>
      <c r="J24" s="1" t="s">
        <v>57</v>
      </c>
      <c r="K24" s="1" t="s">
        <v>339</v>
      </c>
      <c r="L24" s="19" t="s">
        <v>345</v>
      </c>
      <c r="M24" s="28"/>
      <c r="N24" s="30"/>
    </row>
    <row r="25" spans="1:14" x14ac:dyDescent="0.15">
      <c r="A25" s="249"/>
      <c r="B25" s="9"/>
      <c r="C25" s="1"/>
      <c r="D25" s="1"/>
      <c r="E25" s="1"/>
      <c r="F25" s="10"/>
      <c r="G25" s="9" t="s">
        <v>308</v>
      </c>
      <c r="H25" s="7" t="s">
        <v>308</v>
      </c>
      <c r="I25" s="9">
        <v>32</v>
      </c>
      <c r="J25" s="1">
        <v>80</v>
      </c>
      <c r="K25" s="1">
        <v>124</v>
      </c>
      <c r="L25" s="19">
        <v>144</v>
      </c>
      <c r="M25" s="32"/>
      <c r="N25" s="35"/>
    </row>
    <row r="26" spans="1:14" ht="14" thickBot="1" x14ac:dyDescent="0.2">
      <c r="A26" s="250"/>
      <c r="B26" s="8"/>
      <c r="C26" s="2"/>
      <c r="D26" s="2"/>
      <c r="E26" s="2"/>
      <c r="F26" s="3"/>
      <c r="G26" s="8">
        <v>52</v>
      </c>
      <c r="H26" s="6">
        <v>78</v>
      </c>
      <c r="I26" s="8"/>
      <c r="J26" s="2">
        <v>84</v>
      </c>
      <c r="K26" s="2">
        <v>126</v>
      </c>
      <c r="L26" s="20"/>
      <c r="M26" s="36"/>
      <c r="N26" s="38"/>
    </row>
    <row r="27" spans="1:14" ht="14" thickBot="1" x14ac:dyDescent="0.2"/>
    <row r="28" spans="1:14" ht="14" thickBot="1" x14ac:dyDescent="0.2">
      <c r="A28" s="259" t="s">
        <v>175</v>
      </c>
      <c r="B28" s="261"/>
      <c r="C28" s="39" t="s">
        <v>176</v>
      </c>
      <c r="D28" s="40" t="s">
        <v>177</v>
      </c>
      <c r="E28" s="40" t="s">
        <v>179</v>
      </c>
      <c r="F28" s="41" t="s">
        <v>180</v>
      </c>
    </row>
    <row r="29" spans="1:14" x14ac:dyDescent="0.15">
      <c r="A29" s="262"/>
      <c r="B29" s="263"/>
      <c r="C29" s="42" t="s">
        <v>182</v>
      </c>
      <c r="D29" s="24">
        <v>50</v>
      </c>
      <c r="E29" s="24" t="s">
        <v>342</v>
      </c>
      <c r="F29" s="25">
        <v>129</v>
      </c>
    </row>
    <row r="30" spans="1:14" x14ac:dyDescent="0.15">
      <c r="A30" s="262"/>
      <c r="B30" s="263"/>
      <c r="C30" s="9" t="s">
        <v>387</v>
      </c>
      <c r="D30" s="1" t="s">
        <v>178</v>
      </c>
      <c r="E30" s="1">
        <v>93</v>
      </c>
      <c r="F30" s="10">
        <v>136</v>
      </c>
    </row>
    <row r="31" spans="1:14" ht="14" thickBot="1" x14ac:dyDescent="0.2">
      <c r="A31" s="264"/>
      <c r="B31" s="243"/>
      <c r="C31" s="8" t="s">
        <v>388</v>
      </c>
      <c r="D31" s="2">
        <v>31</v>
      </c>
      <c r="E31" s="2"/>
      <c r="F31" s="3" t="s">
        <v>181</v>
      </c>
    </row>
  </sheetData>
  <mergeCells count="13">
    <mergeCell ref="M1:N1"/>
    <mergeCell ref="A28:B31"/>
    <mergeCell ref="A18:A20"/>
    <mergeCell ref="A21:A23"/>
    <mergeCell ref="A24:A26"/>
    <mergeCell ref="G1:H1"/>
    <mergeCell ref="I1:L1"/>
    <mergeCell ref="A3:A5"/>
    <mergeCell ref="B1:F1"/>
    <mergeCell ref="A6:A8"/>
    <mergeCell ref="A9:A11"/>
    <mergeCell ref="A12:A14"/>
    <mergeCell ref="A15:A17"/>
  </mergeCell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0C90-1AF2-A540-B761-3610EAA2A2C3}">
  <dimension ref="A1:S26"/>
  <sheetViews>
    <sheetView workbookViewId="0">
      <selection activeCell="L11" sqref="L11"/>
    </sheetView>
  </sheetViews>
  <sheetFormatPr baseColWidth="10" defaultRowHeight="13" x14ac:dyDescent="0.15"/>
  <sheetData>
    <row r="1" spans="1:19" ht="18" x14ac:dyDescent="0.2">
      <c r="A1" s="269" t="s">
        <v>425</v>
      </c>
      <c r="B1" s="269"/>
      <c r="C1" s="269"/>
      <c r="D1" s="269"/>
      <c r="E1" s="269"/>
      <c r="F1" s="269"/>
      <c r="G1" s="269"/>
      <c r="H1" s="269"/>
      <c r="I1" s="269"/>
      <c r="K1" s="271" t="s">
        <v>444</v>
      </c>
      <c r="L1" s="271"/>
      <c r="M1" s="271"/>
      <c r="N1" s="271"/>
      <c r="O1" s="271"/>
      <c r="P1" s="271"/>
      <c r="Q1" s="271"/>
      <c r="R1" s="271"/>
      <c r="S1" s="271"/>
    </row>
    <row r="2" spans="1:19" ht="14" thickBot="1" x14ac:dyDescent="0.2">
      <c r="B2" s="270" t="s">
        <v>420</v>
      </c>
      <c r="C2" s="270"/>
      <c r="D2" s="227" t="s">
        <v>38</v>
      </c>
      <c r="E2" s="270" t="s">
        <v>424</v>
      </c>
      <c r="F2" s="270"/>
      <c r="G2" s="270" t="s">
        <v>39</v>
      </c>
      <c r="H2" s="270"/>
      <c r="I2" s="227" t="s">
        <v>358</v>
      </c>
      <c r="L2" s="270" t="s">
        <v>420</v>
      </c>
      <c r="M2" s="270"/>
      <c r="N2" s="227" t="s">
        <v>38</v>
      </c>
      <c r="O2" s="270" t="s">
        <v>424</v>
      </c>
      <c r="P2" s="270"/>
      <c r="Q2" s="270" t="s">
        <v>39</v>
      </c>
      <c r="R2" s="270"/>
      <c r="S2" s="227" t="s">
        <v>358</v>
      </c>
    </row>
    <row r="3" spans="1:19" x14ac:dyDescent="0.15">
      <c r="A3" s="266" t="s">
        <v>118</v>
      </c>
      <c r="B3" s="12"/>
      <c r="C3" s="12"/>
      <c r="D3" s="65">
        <v>117</v>
      </c>
      <c r="E3" s="12"/>
      <c r="F3" s="18"/>
      <c r="G3" s="11">
        <v>109</v>
      </c>
      <c r="H3" s="186"/>
      <c r="I3" s="222">
        <v>90</v>
      </c>
      <c r="K3" s="266" t="s">
        <v>118</v>
      </c>
      <c r="L3" s="12"/>
      <c r="M3" s="12"/>
      <c r="N3" s="65">
        <v>62</v>
      </c>
      <c r="O3" s="12">
        <v>117</v>
      </c>
      <c r="P3" s="18"/>
      <c r="Q3" s="11">
        <v>109</v>
      </c>
      <c r="R3" s="186"/>
      <c r="S3" s="222">
        <v>90</v>
      </c>
    </row>
    <row r="4" spans="1:19" x14ac:dyDescent="0.15">
      <c r="A4" s="267"/>
      <c r="B4" s="1"/>
      <c r="C4" s="1"/>
      <c r="D4" s="221" t="s">
        <v>110</v>
      </c>
      <c r="E4" s="1"/>
      <c r="F4" s="19"/>
      <c r="G4" s="224" t="s">
        <v>78</v>
      </c>
      <c r="H4" s="223"/>
      <c r="I4" s="221"/>
      <c r="K4" s="267"/>
      <c r="L4" s="1"/>
      <c r="M4" s="1"/>
      <c r="N4" s="64" t="s">
        <v>395</v>
      </c>
      <c r="O4" s="1">
        <v>117</v>
      </c>
      <c r="P4" s="19"/>
      <c r="Q4" s="224" t="s">
        <v>426</v>
      </c>
      <c r="R4" s="223"/>
      <c r="S4" s="221"/>
    </row>
    <row r="5" spans="1:19" ht="14" thickBot="1" x14ac:dyDescent="0.2">
      <c r="A5" s="268"/>
      <c r="B5" s="2"/>
      <c r="C5" s="6"/>
      <c r="D5" s="195">
        <v>150</v>
      </c>
      <c r="E5" s="2"/>
      <c r="F5" s="20"/>
      <c r="G5" s="225" t="s">
        <v>370</v>
      </c>
      <c r="H5" s="228"/>
      <c r="I5" s="195"/>
      <c r="K5" s="268"/>
      <c r="L5" s="2"/>
      <c r="M5" s="6"/>
      <c r="N5" s="195">
        <v>149</v>
      </c>
      <c r="O5" s="2">
        <v>117</v>
      </c>
      <c r="P5" s="20"/>
      <c r="Q5" s="225" t="s">
        <v>259</v>
      </c>
      <c r="R5" s="228"/>
      <c r="S5" s="195"/>
    </row>
    <row r="6" spans="1:19" x14ac:dyDescent="0.15">
      <c r="A6" s="266" t="s">
        <v>119</v>
      </c>
      <c r="B6" s="12">
        <v>11</v>
      </c>
      <c r="C6" s="18"/>
      <c r="D6" s="65">
        <v>92</v>
      </c>
      <c r="E6" s="12"/>
      <c r="F6" s="18"/>
      <c r="G6" s="11">
        <v>109</v>
      </c>
      <c r="H6" s="186"/>
      <c r="I6" s="222">
        <v>90</v>
      </c>
      <c r="K6" s="266" t="s">
        <v>119</v>
      </c>
      <c r="L6" s="12">
        <v>1</v>
      </c>
      <c r="M6" s="18"/>
      <c r="N6" s="65">
        <v>62</v>
      </c>
      <c r="O6" s="12">
        <v>8</v>
      </c>
      <c r="P6" s="18"/>
      <c r="Q6" s="11">
        <v>109</v>
      </c>
      <c r="R6" s="186"/>
      <c r="S6" s="222">
        <v>90</v>
      </c>
    </row>
    <row r="7" spans="1:19" x14ac:dyDescent="0.15">
      <c r="A7" s="267"/>
      <c r="B7" s="1">
        <v>15</v>
      </c>
      <c r="C7" s="19"/>
      <c r="D7" s="64" t="s">
        <v>190</v>
      </c>
      <c r="E7" s="1"/>
      <c r="F7" s="19"/>
      <c r="G7" s="224" t="s">
        <v>78</v>
      </c>
      <c r="H7" s="223"/>
      <c r="I7" s="221"/>
      <c r="K7" s="267"/>
      <c r="L7" s="1">
        <v>2</v>
      </c>
      <c r="M7" s="19"/>
      <c r="N7" s="64" t="s">
        <v>395</v>
      </c>
      <c r="O7" s="1" t="s">
        <v>331</v>
      </c>
      <c r="P7" s="19"/>
      <c r="Q7" s="224" t="s">
        <v>426</v>
      </c>
      <c r="R7" s="223"/>
      <c r="S7" s="221"/>
    </row>
    <row r="8" spans="1:19" ht="14" thickBot="1" x14ac:dyDescent="0.2">
      <c r="A8" s="268"/>
      <c r="B8" s="2">
        <v>22</v>
      </c>
      <c r="C8" s="6"/>
      <c r="D8" s="195">
        <v>150</v>
      </c>
      <c r="E8" s="2"/>
      <c r="F8" s="20"/>
      <c r="G8" s="225" t="s">
        <v>370</v>
      </c>
      <c r="H8" s="228"/>
      <c r="I8" s="195"/>
      <c r="K8" s="268"/>
      <c r="L8" s="2">
        <v>3</v>
      </c>
      <c r="M8" s="6"/>
      <c r="N8" s="195">
        <v>149</v>
      </c>
      <c r="O8" s="2" t="s">
        <v>210</v>
      </c>
      <c r="P8" s="20"/>
      <c r="Q8" s="225" t="s">
        <v>259</v>
      </c>
      <c r="R8" s="228"/>
      <c r="S8" s="195"/>
    </row>
    <row r="9" spans="1:19" x14ac:dyDescent="0.15">
      <c r="A9" s="266" t="s">
        <v>120</v>
      </c>
      <c r="B9" s="1">
        <v>23</v>
      </c>
      <c r="C9" s="45"/>
      <c r="D9" s="65">
        <v>92</v>
      </c>
      <c r="E9" s="1"/>
      <c r="F9" s="19"/>
      <c r="G9" s="11">
        <v>109</v>
      </c>
      <c r="H9" s="229"/>
      <c r="I9" s="222">
        <v>90</v>
      </c>
      <c r="K9" s="272" t="s">
        <v>120</v>
      </c>
      <c r="L9" s="1">
        <v>23</v>
      </c>
      <c r="M9" s="45"/>
      <c r="N9" s="65">
        <v>62</v>
      </c>
      <c r="O9" s="1" t="s">
        <v>427</v>
      </c>
      <c r="P9" s="19"/>
      <c r="Q9" s="11">
        <v>109</v>
      </c>
      <c r="R9" s="229"/>
      <c r="S9" s="222">
        <v>90</v>
      </c>
    </row>
    <row r="10" spans="1:19" x14ac:dyDescent="0.15">
      <c r="A10" s="267"/>
      <c r="B10" s="1">
        <v>65</v>
      </c>
      <c r="C10" s="213"/>
      <c r="D10" s="64" t="s">
        <v>190</v>
      </c>
      <c r="E10" s="1"/>
      <c r="F10" s="19"/>
      <c r="G10" s="224" t="s">
        <v>78</v>
      </c>
      <c r="H10" s="223"/>
      <c r="I10" s="221"/>
      <c r="K10" s="273"/>
      <c r="L10" s="1" t="s">
        <v>428</v>
      </c>
      <c r="M10" s="213"/>
      <c r="N10" s="64" t="s">
        <v>395</v>
      </c>
      <c r="O10" s="1">
        <v>15</v>
      </c>
      <c r="P10" s="19"/>
      <c r="Q10" s="224" t="s">
        <v>426</v>
      </c>
      <c r="R10" s="223"/>
      <c r="S10" s="221"/>
    </row>
    <row r="11" spans="1:19" ht="14" thickBot="1" x14ac:dyDescent="0.2">
      <c r="A11" s="268"/>
      <c r="B11" s="1">
        <v>65</v>
      </c>
      <c r="C11" s="214"/>
      <c r="D11" s="195">
        <v>150</v>
      </c>
      <c r="E11" s="1"/>
      <c r="F11" s="19"/>
      <c r="G11" s="225" t="s">
        <v>370</v>
      </c>
      <c r="H11" s="230"/>
      <c r="I11" s="195"/>
      <c r="K11" s="274"/>
      <c r="L11" s="1" t="s">
        <v>429</v>
      </c>
      <c r="M11" s="214"/>
      <c r="N11" s="195">
        <v>149</v>
      </c>
      <c r="O11" s="1">
        <v>22</v>
      </c>
      <c r="P11" s="19"/>
      <c r="Q11" s="225" t="s">
        <v>259</v>
      </c>
      <c r="R11" s="230"/>
      <c r="S11" s="195"/>
    </row>
    <row r="12" spans="1:19" x14ac:dyDescent="0.15">
      <c r="A12" s="266" t="s">
        <v>121</v>
      </c>
      <c r="B12" s="12">
        <v>29</v>
      </c>
      <c r="C12" s="12"/>
      <c r="D12" s="65">
        <v>92</v>
      </c>
      <c r="E12" s="12"/>
      <c r="F12" s="18"/>
      <c r="G12" s="11">
        <v>109</v>
      </c>
      <c r="H12" s="186"/>
      <c r="I12" s="222">
        <v>90</v>
      </c>
      <c r="K12" s="272" t="s">
        <v>121</v>
      </c>
      <c r="L12" s="12" t="s">
        <v>430</v>
      </c>
      <c r="M12" s="12"/>
      <c r="N12" s="65">
        <v>62</v>
      </c>
      <c r="O12" s="12" t="s">
        <v>431</v>
      </c>
      <c r="P12" s="18"/>
      <c r="Q12" s="11">
        <v>109</v>
      </c>
      <c r="R12" s="186"/>
      <c r="S12" s="222">
        <v>90</v>
      </c>
    </row>
    <row r="13" spans="1:19" x14ac:dyDescent="0.15">
      <c r="A13" s="267"/>
      <c r="B13" s="1">
        <v>76</v>
      </c>
      <c r="C13" s="212"/>
      <c r="D13" s="64" t="s">
        <v>190</v>
      </c>
      <c r="E13" s="1"/>
      <c r="F13" s="19"/>
      <c r="G13" s="224" t="s">
        <v>78</v>
      </c>
      <c r="H13" s="223"/>
      <c r="I13" s="221"/>
      <c r="K13" s="273"/>
      <c r="L13" s="1" t="s">
        <v>432</v>
      </c>
      <c r="M13" s="212"/>
      <c r="N13" s="64" t="s">
        <v>395</v>
      </c>
      <c r="O13" s="1">
        <v>27</v>
      </c>
      <c r="P13" s="19"/>
      <c r="Q13" s="224" t="s">
        <v>426</v>
      </c>
      <c r="R13" s="223"/>
      <c r="S13" s="221"/>
    </row>
    <row r="14" spans="1:19" ht="14" thickBot="1" x14ac:dyDescent="0.2">
      <c r="A14" s="268"/>
      <c r="B14" s="2">
        <v>76</v>
      </c>
      <c r="C14" s="216"/>
      <c r="D14" s="195">
        <v>150</v>
      </c>
      <c r="E14" s="2"/>
      <c r="F14" s="20"/>
      <c r="G14" s="225" t="s">
        <v>370</v>
      </c>
      <c r="H14" s="228"/>
      <c r="I14" s="195"/>
      <c r="K14" s="274"/>
      <c r="L14" s="2" t="s">
        <v>433</v>
      </c>
      <c r="M14" s="216"/>
      <c r="N14" s="195">
        <v>149</v>
      </c>
      <c r="O14" s="2">
        <v>115</v>
      </c>
      <c r="P14" s="20"/>
      <c r="Q14" s="225" t="s">
        <v>259</v>
      </c>
      <c r="R14" s="228"/>
      <c r="S14" s="195"/>
    </row>
    <row r="15" spans="1:19" x14ac:dyDescent="0.15">
      <c r="A15" s="266" t="s">
        <v>122</v>
      </c>
      <c r="B15" s="1">
        <v>104</v>
      </c>
      <c r="C15" s="212"/>
      <c r="D15" s="65">
        <v>92</v>
      </c>
      <c r="E15" s="1"/>
      <c r="F15" s="19"/>
      <c r="G15" s="11">
        <v>109</v>
      </c>
      <c r="H15" s="229"/>
      <c r="I15" s="222">
        <v>90</v>
      </c>
      <c r="K15" s="272" t="s">
        <v>122</v>
      </c>
      <c r="L15" s="1" t="s">
        <v>434</v>
      </c>
      <c r="M15" s="212"/>
      <c r="N15" s="65">
        <v>62</v>
      </c>
      <c r="O15" s="1" t="s">
        <v>248</v>
      </c>
      <c r="P15" s="19"/>
      <c r="Q15" s="11">
        <v>109</v>
      </c>
      <c r="R15" s="229"/>
      <c r="S15" s="222">
        <v>90</v>
      </c>
    </row>
    <row r="16" spans="1:19" x14ac:dyDescent="0.15">
      <c r="A16" s="267"/>
      <c r="B16" s="1">
        <v>104</v>
      </c>
      <c r="C16" s="212"/>
      <c r="D16" s="64" t="s">
        <v>190</v>
      </c>
      <c r="E16" s="1"/>
      <c r="F16" s="19"/>
      <c r="G16" s="224" t="s">
        <v>78</v>
      </c>
      <c r="H16" s="223"/>
      <c r="I16" s="221"/>
      <c r="K16" s="273"/>
      <c r="L16" s="1" t="s">
        <v>435</v>
      </c>
      <c r="M16" s="212"/>
      <c r="N16" s="64" t="s">
        <v>395</v>
      </c>
      <c r="O16" s="1" t="s">
        <v>436</v>
      </c>
      <c r="P16" s="19"/>
      <c r="Q16" s="224" t="s">
        <v>426</v>
      </c>
      <c r="R16" s="223"/>
      <c r="S16" s="221"/>
    </row>
    <row r="17" spans="1:19" ht="14" thickBot="1" x14ac:dyDescent="0.2">
      <c r="A17" s="268"/>
      <c r="B17" s="2">
        <v>104</v>
      </c>
      <c r="C17" s="216"/>
      <c r="D17" s="195">
        <v>150</v>
      </c>
      <c r="E17" s="1"/>
      <c r="F17" s="19"/>
      <c r="G17" s="225" t="s">
        <v>370</v>
      </c>
      <c r="H17" s="228"/>
      <c r="I17" s="195"/>
      <c r="K17" s="274"/>
      <c r="L17" s="2" t="s">
        <v>437</v>
      </c>
      <c r="M17" s="216"/>
      <c r="N17" s="195">
        <v>149</v>
      </c>
      <c r="O17" s="1" t="s">
        <v>438</v>
      </c>
      <c r="P17" s="19"/>
      <c r="Q17" s="225" t="s">
        <v>259</v>
      </c>
      <c r="R17" s="228"/>
      <c r="S17" s="195"/>
    </row>
    <row r="18" spans="1:19" x14ac:dyDescent="0.15">
      <c r="A18" s="266" t="s">
        <v>123</v>
      </c>
      <c r="B18" s="12">
        <v>105</v>
      </c>
      <c r="C18" s="226"/>
      <c r="D18" s="65">
        <v>92</v>
      </c>
      <c r="E18" s="12"/>
      <c r="F18" s="18"/>
      <c r="G18" s="11">
        <v>109</v>
      </c>
      <c r="H18" s="229"/>
      <c r="I18" s="222">
        <v>90</v>
      </c>
      <c r="K18" s="272" t="s">
        <v>123</v>
      </c>
      <c r="L18" s="12" t="s">
        <v>439</v>
      </c>
      <c r="M18" s="226"/>
      <c r="N18" s="65">
        <v>62</v>
      </c>
      <c r="O18" s="12" t="s">
        <v>249</v>
      </c>
      <c r="P18" s="18"/>
      <c r="Q18" s="11">
        <v>109</v>
      </c>
      <c r="R18" s="229"/>
      <c r="S18" s="222">
        <v>90</v>
      </c>
    </row>
    <row r="19" spans="1:19" x14ac:dyDescent="0.15">
      <c r="A19" s="267"/>
      <c r="B19" s="1">
        <v>105</v>
      </c>
      <c r="C19" s="226"/>
      <c r="D19" s="64" t="s">
        <v>190</v>
      </c>
      <c r="E19" s="1"/>
      <c r="F19" s="19"/>
      <c r="G19" s="224" t="s">
        <v>78</v>
      </c>
      <c r="H19" s="223"/>
      <c r="I19" s="221"/>
      <c r="K19" s="273"/>
      <c r="L19" s="1" t="s">
        <v>440</v>
      </c>
      <c r="M19" s="226"/>
      <c r="N19" s="64" t="s">
        <v>395</v>
      </c>
      <c r="O19" s="1" t="s">
        <v>441</v>
      </c>
      <c r="P19" s="19"/>
      <c r="Q19" s="224" t="s">
        <v>426</v>
      </c>
      <c r="R19" s="223"/>
      <c r="S19" s="221"/>
    </row>
    <row r="20" spans="1:19" ht="14" thickBot="1" x14ac:dyDescent="0.2">
      <c r="A20" s="268"/>
      <c r="B20" s="2">
        <v>105</v>
      </c>
      <c r="C20" s="216"/>
      <c r="D20" s="195">
        <v>150</v>
      </c>
      <c r="E20" s="2"/>
      <c r="F20" s="20"/>
      <c r="G20" s="225" t="s">
        <v>370</v>
      </c>
      <c r="H20" s="228"/>
      <c r="I20" s="195"/>
      <c r="K20" s="274"/>
      <c r="L20" s="2" t="s">
        <v>442</v>
      </c>
      <c r="M20" s="216"/>
      <c r="N20" s="195">
        <v>149</v>
      </c>
      <c r="O20" s="2" t="s">
        <v>443</v>
      </c>
      <c r="P20" s="20"/>
      <c r="Q20" s="225" t="s">
        <v>259</v>
      </c>
      <c r="R20" s="228"/>
      <c r="S20" s="195"/>
    </row>
    <row r="21" spans="1:19" x14ac:dyDescent="0.15">
      <c r="A21" s="266" t="s">
        <v>124</v>
      </c>
      <c r="B21" s="220">
        <v>75</v>
      </c>
      <c r="C21" s="45"/>
      <c r="D21" s="65">
        <v>92</v>
      </c>
      <c r="E21" s="1"/>
      <c r="F21" s="19"/>
      <c r="G21" s="11">
        <v>135</v>
      </c>
      <c r="H21" s="231"/>
      <c r="I21" s="222">
        <v>90</v>
      </c>
      <c r="K21" s="272" t="s">
        <v>124</v>
      </c>
      <c r="L21" s="220">
        <v>144</v>
      </c>
      <c r="M21" s="213"/>
      <c r="N21" s="65">
        <v>62</v>
      </c>
      <c r="O21" s="220" t="s">
        <v>445</v>
      </c>
      <c r="P21" s="19"/>
      <c r="Q21" s="11">
        <v>109</v>
      </c>
      <c r="R21" s="231"/>
      <c r="S21" s="222">
        <v>90</v>
      </c>
    </row>
    <row r="22" spans="1:19" x14ac:dyDescent="0.15">
      <c r="A22" s="267"/>
      <c r="B22" s="1">
        <v>144</v>
      </c>
      <c r="C22" s="213"/>
      <c r="D22" s="64" t="s">
        <v>190</v>
      </c>
      <c r="E22" s="1"/>
      <c r="F22" s="19"/>
      <c r="G22" s="224">
        <v>135</v>
      </c>
      <c r="H22" s="232"/>
      <c r="I22" s="221"/>
      <c r="K22" s="273"/>
      <c r="L22" s="1">
        <v>144</v>
      </c>
      <c r="M22" s="213"/>
      <c r="N22" s="64" t="s">
        <v>395</v>
      </c>
      <c r="O22" s="1">
        <v>95</v>
      </c>
      <c r="P22" s="233" t="s">
        <v>446</v>
      </c>
      <c r="Q22" s="224" t="s">
        <v>426</v>
      </c>
      <c r="R22" s="232"/>
      <c r="S22" s="221"/>
    </row>
    <row r="23" spans="1:19" ht="14" thickBot="1" x14ac:dyDescent="0.2">
      <c r="A23" s="268"/>
      <c r="B23" s="1">
        <v>144</v>
      </c>
      <c r="C23" s="214"/>
      <c r="D23" s="195">
        <v>150</v>
      </c>
      <c r="E23" s="2"/>
      <c r="F23" s="20"/>
      <c r="G23" s="225" t="s">
        <v>370</v>
      </c>
      <c r="H23" s="228"/>
      <c r="I23" s="195"/>
      <c r="K23" s="274"/>
      <c r="L23" s="1">
        <v>144</v>
      </c>
      <c r="M23" s="214"/>
      <c r="N23" s="195">
        <v>149</v>
      </c>
      <c r="O23" s="2">
        <v>95</v>
      </c>
      <c r="P23" s="234" t="s">
        <v>447</v>
      </c>
      <c r="Q23" s="225" t="s">
        <v>259</v>
      </c>
      <c r="R23" s="228"/>
      <c r="S23" s="195"/>
    </row>
    <row r="24" spans="1:19" x14ac:dyDescent="0.15">
      <c r="A24" s="266" t="s">
        <v>118</v>
      </c>
      <c r="B24" s="12">
        <v>1</v>
      </c>
      <c r="C24" s="12"/>
      <c r="D24" s="65">
        <v>117</v>
      </c>
      <c r="E24" s="12"/>
      <c r="F24" s="18"/>
      <c r="G24" s="11">
        <v>109</v>
      </c>
      <c r="H24" s="186"/>
      <c r="I24" s="222">
        <v>90</v>
      </c>
      <c r="K24" s="272" t="s">
        <v>118</v>
      </c>
      <c r="L24" s="12">
        <v>1</v>
      </c>
      <c r="M24" s="12"/>
      <c r="N24" s="65">
        <v>62</v>
      </c>
      <c r="O24" s="12">
        <v>117</v>
      </c>
      <c r="P24" s="18"/>
      <c r="Q24" s="11">
        <v>109</v>
      </c>
      <c r="R24" s="186"/>
      <c r="S24" s="222">
        <v>90</v>
      </c>
    </row>
    <row r="25" spans="1:19" x14ac:dyDescent="0.15">
      <c r="A25" s="267"/>
      <c r="B25" s="1">
        <v>2</v>
      </c>
      <c r="C25" s="1"/>
      <c r="D25" s="221" t="s">
        <v>110</v>
      </c>
      <c r="E25" s="1"/>
      <c r="F25" s="19"/>
      <c r="G25" s="224" t="s">
        <v>78</v>
      </c>
      <c r="H25" s="223"/>
      <c r="I25" s="221"/>
      <c r="K25" s="273"/>
      <c r="L25" s="1">
        <v>2</v>
      </c>
      <c r="M25" s="1"/>
      <c r="N25" s="64" t="s">
        <v>395</v>
      </c>
      <c r="O25" s="1">
        <v>117</v>
      </c>
      <c r="P25" s="19"/>
      <c r="Q25" s="224" t="s">
        <v>426</v>
      </c>
      <c r="R25" s="223"/>
      <c r="S25" s="221"/>
    </row>
    <row r="26" spans="1:19" ht="14" thickBot="1" x14ac:dyDescent="0.2">
      <c r="A26" s="268"/>
      <c r="B26" s="2">
        <v>3</v>
      </c>
      <c r="C26" s="6"/>
      <c r="D26" s="195">
        <v>150</v>
      </c>
      <c r="E26" s="2"/>
      <c r="F26" s="20"/>
      <c r="G26" s="225" t="s">
        <v>370</v>
      </c>
      <c r="H26" s="228"/>
      <c r="I26" s="195"/>
      <c r="K26" s="274"/>
      <c r="L26" s="2">
        <v>3</v>
      </c>
      <c r="M26" s="6"/>
      <c r="N26" s="195">
        <v>149</v>
      </c>
      <c r="O26" s="2">
        <v>117</v>
      </c>
      <c r="P26" s="20"/>
      <c r="Q26" s="225" t="s">
        <v>259</v>
      </c>
      <c r="R26" s="228"/>
      <c r="S26" s="195"/>
    </row>
  </sheetData>
  <mergeCells count="24">
    <mergeCell ref="K24:K26"/>
    <mergeCell ref="K3:K5"/>
    <mergeCell ref="L2:M2"/>
    <mergeCell ref="O2:P2"/>
    <mergeCell ref="Q2:R2"/>
    <mergeCell ref="K21:K23"/>
    <mergeCell ref="K1:S1"/>
    <mergeCell ref="K9:K11"/>
    <mergeCell ref="K12:K14"/>
    <mergeCell ref="K15:K17"/>
    <mergeCell ref="K18:K20"/>
    <mergeCell ref="K6:K8"/>
    <mergeCell ref="A15:A17"/>
    <mergeCell ref="A18:A20"/>
    <mergeCell ref="A21:A23"/>
    <mergeCell ref="A24:A26"/>
    <mergeCell ref="A1:I1"/>
    <mergeCell ref="E2:F2"/>
    <mergeCell ref="B2:C2"/>
    <mergeCell ref="G2:H2"/>
    <mergeCell ref="A3:A5"/>
    <mergeCell ref="A6:A8"/>
    <mergeCell ref="A9:A11"/>
    <mergeCell ref="A12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7408-0F5B-404B-80D4-18C149068E4C}">
  <dimension ref="A1:H161"/>
  <sheetViews>
    <sheetView workbookViewId="0">
      <selection activeCell="C15" sqref="C15"/>
    </sheetView>
  </sheetViews>
  <sheetFormatPr baseColWidth="10" defaultRowHeight="13" x14ac:dyDescent="0.15"/>
  <sheetData>
    <row r="1" spans="1:8" x14ac:dyDescent="0.15">
      <c r="A1" s="4"/>
      <c r="B1" s="196" t="s">
        <v>38</v>
      </c>
      <c r="C1" s="198"/>
    </row>
    <row r="2" spans="1:8" ht="14" thickBot="1" x14ac:dyDescent="0.2">
      <c r="A2" s="5"/>
      <c r="B2" s="8" t="s">
        <v>240</v>
      </c>
      <c r="C2" s="20" t="s">
        <v>42</v>
      </c>
    </row>
    <row r="3" spans="1:8" x14ac:dyDescent="0.15">
      <c r="A3" s="248" t="s">
        <v>118</v>
      </c>
      <c r="B3" s="11">
        <v>117</v>
      </c>
      <c r="C3" s="18">
        <v>117</v>
      </c>
      <c r="E3">
        <v>1</v>
      </c>
      <c r="F3">
        <f>VLOOKUP($E3,$B$1:$B$161,1,FALSE)</f>
        <v>1</v>
      </c>
      <c r="G3">
        <f>VLOOKUP($E3,$C$1:$C$161,1,FALSE)</f>
        <v>1</v>
      </c>
      <c r="H3">
        <f>IF(ISNA(F3),IF(ISNA(G3),FALSE,E3),E3)</f>
        <v>1</v>
      </c>
    </row>
    <row r="4" spans="1:8" x14ac:dyDescent="0.15">
      <c r="A4" s="249"/>
      <c r="B4" s="9" t="s">
        <v>110</v>
      </c>
      <c r="C4" s="197" t="s">
        <v>110</v>
      </c>
      <c r="E4">
        <v>2</v>
      </c>
      <c r="F4">
        <f t="shared" ref="F4:F67" si="0">VLOOKUP($E4,$B$1:$B$161,1,FALSE)</f>
        <v>2</v>
      </c>
      <c r="G4">
        <f t="shared" ref="G4:G67" si="1">VLOOKUP($E4,$C$1:$C$161,1,FALSE)</f>
        <v>2</v>
      </c>
      <c r="H4">
        <f t="shared" ref="H4:H67" si="2">IF(ISNA(F4),IF(ISNA(G4),FALSE,E4),E4)</f>
        <v>2</v>
      </c>
    </row>
    <row r="5" spans="1:8" ht="14" thickBot="1" x14ac:dyDescent="0.2">
      <c r="A5" s="250"/>
      <c r="B5" s="8">
        <v>150</v>
      </c>
      <c r="C5" s="20">
        <v>150</v>
      </c>
      <c r="E5">
        <v>3</v>
      </c>
      <c r="F5">
        <f t="shared" si="0"/>
        <v>3</v>
      </c>
      <c r="G5">
        <f t="shared" si="1"/>
        <v>3</v>
      </c>
      <c r="H5">
        <f t="shared" si="2"/>
        <v>3</v>
      </c>
    </row>
    <row r="6" spans="1:8" x14ac:dyDescent="0.15">
      <c r="A6" s="235" t="s">
        <v>119</v>
      </c>
      <c r="B6" s="11">
        <v>8</v>
      </c>
      <c r="C6" s="18">
        <v>46</v>
      </c>
      <c r="E6">
        <v>4</v>
      </c>
      <c r="F6">
        <f t="shared" si="0"/>
        <v>4</v>
      </c>
      <c r="G6" t="e">
        <f t="shared" si="1"/>
        <v>#N/A</v>
      </c>
      <c r="H6">
        <f t="shared" si="2"/>
        <v>4</v>
      </c>
    </row>
    <row r="7" spans="1:8" x14ac:dyDescent="0.15">
      <c r="A7" s="236"/>
      <c r="B7" s="9" t="s">
        <v>412</v>
      </c>
      <c r="C7" s="197" t="s">
        <v>412</v>
      </c>
      <c r="E7">
        <v>5</v>
      </c>
      <c r="F7" t="e">
        <f t="shared" si="0"/>
        <v>#N/A</v>
      </c>
      <c r="G7" t="e">
        <f t="shared" si="1"/>
        <v>#N/A</v>
      </c>
      <c r="H7" t="b">
        <f t="shared" si="2"/>
        <v>0</v>
      </c>
    </row>
    <row r="8" spans="1:8" ht="14" thickBot="1" x14ac:dyDescent="0.2">
      <c r="A8" s="237"/>
      <c r="B8" s="8">
        <v>91</v>
      </c>
      <c r="C8" s="20" t="s">
        <v>3</v>
      </c>
      <c r="E8">
        <v>6</v>
      </c>
      <c r="F8">
        <f t="shared" si="0"/>
        <v>6</v>
      </c>
      <c r="G8" t="e">
        <f t="shared" si="1"/>
        <v>#N/A</v>
      </c>
      <c r="H8">
        <f t="shared" si="2"/>
        <v>6</v>
      </c>
    </row>
    <row r="9" spans="1:8" x14ac:dyDescent="0.15">
      <c r="A9" s="235" t="s">
        <v>120</v>
      </c>
      <c r="B9" s="9" t="s">
        <v>106</v>
      </c>
      <c r="C9" s="19">
        <v>47</v>
      </c>
      <c r="E9">
        <v>7</v>
      </c>
      <c r="F9">
        <f t="shared" si="0"/>
        <v>7</v>
      </c>
      <c r="G9" t="e">
        <f t="shared" si="1"/>
        <v>#N/A</v>
      </c>
      <c r="H9">
        <f t="shared" si="2"/>
        <v>7</v>
      </c>
    </row>
    <row r="10" spans="1:8" x14ac:dyDescent="0.15">
      <c r="A10" s="236"/>
      <c r="B10" s="9" t="s">
        <v>413</v>
      </c>
      <c r="C10" s="197" t="s">
        <v>413</v>
      </c>
      <c r="E10">
        <v>8</v>
      </c>
      <c r="F10">
        <f t="shared" si="0"/>
        <v>8</v>
      </c>
      <c r="G10" t="e">
        <f t="shared" si="1"/>
        <v>#N/A</v>
      </c>
      <c r="H10">
        <f t="shared" si="2"/>
        <v>8</v>
      </c>
    </row>
    <row r="11" spans="1:8" ht="14" thickBot="1" x14ac:dyDescent="0.2">
      <c r="A11" s="237"/>
      <c r="B11" s="9">
        <v>95</v>
      </c>
      <c r="C11" s="19">
        <v>134</v>
      </c>
      <c r="E11">
        <v>9</v>
      </c>
      <c r="F11" t="e">
        <f t="shared" si="0"/>
        <v>#N/A</v>
      </c>
      <c r="G11" t="e">
        <f t="shared" si="1"/>
        <v>#N/A</v>
      </c>
      <c r="H11" t="b">
        <f t="shared" si="2"/>
        <v>0</v>
      </c>
    </row>
    <row r="12" spans="1:8" x14ac:dyDescent="0.15">
      <c r="A12" s="235" t="s">
        <v>121</v>
      </c>
      <c r="B12" s="11">
        <v>23</v>
      </c>
      <c r="C12" s="18">
        <v>62</v>
      </c>
      <c r="E12">
        <v>10</v>
      </c>
      <c r="F12">
        <f t="shared" si="0"/>
        <v>10</v>
      </c>
      <c r="G12" t="e">
        <f t="shared" si="1"/>
        <v>#N/A</v>
      </c>
      <c r="H12">
        <f t="shared" si="2"/>
        <v>10</v>
      </c>
    </row>
    <row r="13" spans="1:8" x14ac:dyDescent="0.15">
      <c r="A13" s="236"/>
      <c r="B13" s="9" t="s">
        <v>417</v>
      </c>
      <c r="C13" s="197" t="s">
        <v>417</v>
      </c>
      <c r="E13">
        <v>11</v>
      </c>
      <c r="F13">
        <f t="shared" si="0"/>
        <v>11</v>
      </c>
      <c r="G13" t="e">
        <f t="shared" si="1"/>
        <v>#N/A</v>
      </c>
      <c r="H13">
        <f t="shared" si="2"/>
        <v>11</v>
      </c>
    </row>
    <row r="14" spans="1:8" ht="14" thickBot="1" x14ac:dyDescent="0.2">
      <c r="A14" s="237"/>
      <c r="B14" s="8">
        <v>96</v>
      </c>
      <c r="C14" s="20">
        <v>145</v>
      </c>
      <c r="E14">
        <v>12</v>
      </c>
      <c r="F14">
        <f t="shared" si="0"/>
        <v>12</v>
      </c>
      <c r="G14" t="e">
        <f t="shared" si="1"/>
        <v>#N/A</v>
      </c>
      <c r="H14">
        <f t="shared" si="2"/>
        <v>12</v>
      </c>
    </row>
    <row r="15" spans="1:8" x14ac:dyDescent="0.15">
      <c r="A15" s="235" t="s">
        <v>122</v>
      </c>
      <c r="B15" s="9">
        <v>27</v>
      </c>
      <c r="C15" s="19">
        <v>64</v>
      </c>
      <c r="E15">
        <v>13</v>
      </c>
      <c r="F15">
        <f t="shared" si="0"/>
        <v>13</v>
      </c>
      <c r="G15" t="e">
        <f t="shared" si="1"/>
        <v>#N/A</v>
      </c>
      <c r="H15">
        <f t="shared" si="2"/>
        <v>13</v>
      </c>
    </row>
    <row r="16" spans="1:8" x14ac:dyDescent="0.15">
      <c r="A16" s="236"/>
      <c r="B16" s="9" t="s">
        <v>414</v>
      </c>
      <c r="C16" s="197" t="s">
        <v>414</v>
      </c>
      <c r="E16">
        <v>14</v>
      </c>
      <c r="F16">
        <f t="shared" si="0"/>
        <v>14</v>
      </c>
      <c r="G16" t="e">
        <f t="shared" si="1"/>
        <v>#N/A</v>
      </c>
      <c r="H16">
        <f t="shared" si="2"/>
        <v>14</v>
      </c>
    </row>
    <row r="17" spans="1:8" ht="14" thickBot="1" x14ac:dyDescent="0.2">
      <c r="A17" s="237"/>
      <c r="B17" s="9">
        <v>97</v>
      </c>
      <c r="C17" s="19">
        <v>146</v>
      </c>
      <c r="E17">
        <v>15</v>
      </c>
      <c r="F17">
        <f t="shared" si="0"/>
        <v>15</v>
      </c>
      <c r="G17" t="e">
        <f t="shared" si="1"/>
        <v>#N/A</v>
      </c>
      <c r="H17">
        <f t="shared" si="2"/>
        <v>15</v>
      </c>
    </row>
    <row r="18" spans="1:8" x14ac:dyDescent="0.15">
      <c r="A18" s="235" t="s">
        <v>123</v>
      </c>
      <c r="B18" s="11">
        <v>35</v>
      </c>
      <c r="C18" s="18">
        <v>83</v>
      </c>
      <c r="E18">
        <v>16</v>
      </c>
      <c r="F18" t="e">
        <f t="shared" si="0"/>
        <v>#N/A</v>
      </c>
      <c r="G18" t="e">
        <f t="shared" si="1"/>
        <v>#N/A</v>
      </c>
      <c r="H18" t="b">
        <f t="shared" si="2"/>
        <v>0</v>
      </c>
    </row>
    <row r="19" spans="1:8" x14ac:dyDescent="0.15">
      <c r="A19" s="236"/>
      <c r="B19" s="9" t="s">
        <v>415</v>
      </c>
      <c r="C19" s="197" t="s">
        <v>415</v>
      </c>
      <c r="E19">
        <v>17</v>
      </c>
      <c r="F19" t="e">
        <f t="shared" si="0"/>
        <v>#N/A</v>
      </c>
      <c r="G19" t="e">
        <f t="shared" si="1"/>
        <v>#N/A</v>
      </c>
      <c r="H19" t="b">
        <f t="shared" si="2"/>
        <v>0</v>
      </c>
    </row>
    <row r="20" spans="1:8" ht="14" thickBot="1" x14ac:dyDescent="0.2">
      <c r="A20" s="237"/>
      <c r="B20" s="8">
        <v>98</v>
      </c>
      <c r="C20" s="20">
        <v>147</v>
      </c>
      <c r="E20">
        <v>18</v>
      </c>
      <c r="F20" t="e">
        <f t="shared" si="0"/>
        <v>#N/A</v>
      </c>
      <c r="G20" t="e">
        <f t="shared" si="1"/>
        <v>#N/A</v>
      </c>
      <c r="H20" t="b">
        <f t="shared" si="2"/>
        <v>0</v>
      </c>
    </row>
    <row r="21" spans="1:8" x14ac:dyDescent="0.15">
      <c r="A21" s="235" t="s">
        <v>124</v>
      </c>
      <c r="B21" s="9">
        <v>45</v>
      </c>
      <c r="C21" s="19">
        <v>86</v>
      </c>
      <c r="E21">
        <v>19</v>
      </c>
      <c r="F21">
        <f t="shared" si="0"/>
        <v>19</v>
      </c>
      <c r="G21" t="e">
        <f t="shared" si="1"/>
        <v>#N/A</v>
      </c>
      <c r="H21">
        <f t="shared" si="2"/>
        <v>19</v>
      </c>
    </row>
    <row r="22" spans="1:8" x14ac:dyDescent="0.15">
      <c r="A22" s="236"/>
      <c r="B22" s="9" t="s">
        <v>416</v>
      </c>
      <c r="C22" s="197" t="s">
        <v>416</v>
      </c>
      <c r="E22">
        <v>20</v>
      </c>
      <c r="F22">
        <f t="shared" si="0"/>
        <v>20</v>
      </c>
      <c r="G22" t="e">
        <f t="shared" si="1"/>
        <v>#N/A</v>
      </c>
      <c r="H22">
        <f t="shared" si="2"/>
        <v>20</v>
      </c>
    </row>
    <row r="23" spans="1:8" ht="14" thickBot="1" x14ac:dyDescent="0.2">
      <c r="A23" s="237"/>
      <c r="B23" s="8">
        <v>99</v>
      </c>
      <c r="C23" s="20">
        <v>149</v>
      </c>
      <c r="E23">
        <v>21</v>
      </c>
      <c r="F23">
        <f t="shared" si="0"/>
        <v>21</v>
      </c>
      <c r="G23" t="e">
        <f t="shared" si="1"/>
        <v>#N/A</v>
      </c>
      <c r="H23">
        <f t="shared" si="2"/>
        <v>21</v>
      </c>
    </row>
    <row r="24" spans="1:8" x14ac:dyDescent="0.15">
      <c r="B24" s="11" t="s">
        <v>39</v>
      </c>
      <c r="C24" s="58" t="s">
        <v>39</v>
      </c>
      <c r="E24">
        <v>22</v>
      </c>
      <c r="F24">
        <f t="shared" si="0"/>
        <v>22</v>
      </c>
      <c r="G24">
        <f t="shared" si="1"/>
        <v>22</v>
      </c>
      <c r="H24">
        <f t="shared" si="2"/>
        <v>22</v>
      </c>
    </row>
    <row r="25" spans="1:8" ht="14" thickBot="1" x14ac:dyDescent="0.2">
      <c r="B25" s="67" t="s">
        <v>240</v>
      </c>
      <c r="C25" s="3" t="s">
        <v>42</v>
      </c>
      <c r="E25">
        <v>23</v>
      </c>
      <c r="F25">
        <f t="shared" si="0"/>
        <v>23</v>
      </c>
      <c r="G25" t="e">
        <f t="shared" si="1"/>
        <v>#N/A</v>
      </c>
      <c r="H25">
        <f t="shared" si="2"/>
        <v>23</v>
      </c>
    </row>
    <row r="26" spans="1:8" x14ac:dyDescent="0.15">
      <c r="B26" s="11">
        <v>109</v>
      </c>
      <c r="C26" s="58">
        <v>109</v>
      </c>
      <c r="E26">
        <v>24</v>
      </c>
      <c r="F26" t="e">
        <f t="shared" si="0"/>
        <v>#N/A</v>
      </c>
      <c r="G26" t="e">
        <f t="shared" si="1"/>
        <v>#N/A</v>
      </c>
      <c r="H26" t="b">
        <f t="shared" si="2"/>
        <v>0</v>
      </c>
    </row>
    <row r="27" spans="1:8" x14ac:dyDescent="0.15">
      <c r="B27" s="9" t="s">
        <v>78</v>
      </c>
      <c r="C27" s="62" t="s">
        <v>78</v>
      </c>
      <c r="E27">
        <v>25</v>
      </c>
      <c r="F27">
        <f t="shared" si="0"/>
        <v>25</v>
      </c>
      <c r="G27" t="e">
        <f t="shared" si="1"/>
        <v>#N/A</v>
      </c>
      <c r="H27">
        <f t="shared" si="2"/>
        <v>25</v>
      </c>
    </row>
    <row r="28" spans="1:8" ht="14" thickBot="1" x14ac:dyDescent="0.2">
      <c r="B28" s="8" t="s">
        <v>259</v>
      </c>
      <c r="C28" s="57" t="s">
        <v>259</v>
      </c>
      <c r="E28">
        <v>26</v>
      </c>
      <c r="F28" t="e">
        <f t="shared" si="0"/>
        <v>#N/A</v>
      </c>
      <c r="G28" t="e">
        <f t="shared" si="1"/>
        <v>#N/A</v>
      </c>
      <c r="H28" t="b">
        <f t="shared" si="2"/>
        <v>0</v>
      </c>
    </row>
    <row r="29" spans="1:8" x14ac:dyDescent="0.15">
      <c r="B29" s="9">
        <v>15</v>
      </c>
      <c r="C29" s="13">
        <v>102</v>
      </c>
      <c r="E29">
        <v>27</v>
      </c>
      <c r="F29">
        <f t="shared" si="0"/>
        <v>27</v>
      </c>
      <c r="G29" t="e">
        <f t="shared" si="1"/>
        <v>#N/A</v>
      </c>
      <c r="H29">
        <f t="shared" si="2"/>
        <v>27</v>
      </c>
    </row>
    <row r="30" spans="1:8" x14ac:dyDescent="0.15">
      <c r="B30" s="9">
        <v>22</v>
      </c>
      <c r="C30" s="10">
        <v>102</v>
      </c>
      <c r="E30">
        <v>28</v>
      </c>
      <c r="F30" t="e">
        <f t="shared" si="0"/>
        <v>#N/A</v>
      </c>
      <c r="G30" t="e">
        <f t="shared" si="1"/>
        <v>#N/A</v>
      </c>
      <c r="H30" t="b">
        <f t="shared" si="2"/>
        <v>0</v>
      </c>
    </row>
    <row r="31" spans="1:8" ht="14" thickBot="1" x14ac:dyDescent="0.2">
      <c r="B31" s="9" t="s">
        <v>260</v>
      </c>
      <c r="C31" s="3" t="s">
        <v>260</v>
      </c>
      <c r="E31">
        <v>29</v>
      </c>
      <c r="F31">
        <f t="shared" si="0"/>
        <v>29</v>
      </c>
      <c r="G31" t="e">
        <f t="shared" si="1"/>
        <v>#N/A</v>
      </c>
      <c r="H31">
        <f t="shared" si="2"/>
        <v>29</v>
      </c>
    </row>
    <row r="32" spans="1:8" x14ac:dyDescent="0.15">
      <c r="B32" s="11">
        <v>29</v>
      </c>
      <c r="C32" s="10">
        <v>114</v>
      </c>
      <c r="E32">
        <v>30</v>
      </c>
      <c r="F32">
        <f t="shared" si="0"/>
        <v>30</v>
      </c>
      <c r="G32" t="e">
        <f t="shared" si="1"/>
        <v>#N/A</v>
      </c>
      <c r="H32">
        <f t="shared" si="2"/>
        <v>30</v>
      </c>
    </row>
    <row r="33" spans="2:8" x14ac:dyDescent="0.15">
      <c r="B33" s="9">
        <v>42</v>
      </c>
      <c r="C33" s="10">
        <v>115</v>
      </c>
      <c r="E33">
        <v>31</v>
      </c>
      <c r="F33" t="e">
        <f t="shared" si="0"/>
        <v>#N/A</v>
      </c>
      <c r="G33" t="e">
        <f t="shared" si="1"/>
        <v>#N/A</v>
      </c>
      <c r="H33" t="b">
        <f t="shared" si="2"/>
        <v>0</v>
      </c>
    </row>
    <row r="34" spans="2:8" ht="14" thickBot="1" x14ac:dyDescent="0.2">
      <c r="B34" s="8" t="s">
        <v>261</v>
      </c>
      <c r="C34" s="10" t="s">
        <v>261</v>
      </c>
      <c r="E34">
        <v>32</v>
      </c>
      <c r="F34" t="e">
        <f t="shared" si="0"/>
        <v>#N/A</v>
      </c>
      <c r="G34" t="e">
        <f t="shared" si="1"/>
        <v>#N/A</v>
      </c>
      <c r="H34" t="b">
        <f t="shared" si="2"/>
        <v>0</v>
      </c>
    </row>
    <row r="35" spans="2:8" x14ac:dyDescent="0.15">
      <c r="B35" s="9">
        <v>44</v>
      </c>
      <c r="C35" s="13">
        <v>120</v>
      </c>
      <c r="E35">
        <v>33</v>
      </c>
      <c r="F35">
        <f t="shared" si="0"/>
        <v>33</v>
      </c>
      <c r="G35" t="e">
        <f t="shared" si="1"/>
        <v>#N/A</v>
      </c>
      <c r="H35">
        <f t="shared" si="2"/>
        <v>33</v>
      </c>
    </row>
    <row r="36" spans="2:8" x14ac:dyDescent="0.15">
      <c r="B36" s="9">
        <v>44</v>
      </c>
      <c r="C36" s="10">
        <v>121</v>
      </c>
      <c r="E36">
        <v>34</v>
      </c>
      <c r="F36" t="e">
        <f t="shared" si="0"/>
        <v>#N/A</v>
      </c>
      <c r="G36">
        <f t="shared" si="1"/>
        <v>34</v>
      </c>
      <c r="H36">
        <f t="shared" si="2"/>
        <v>34</v>
      </c>
    </row>
    <row r="37" spans="2:8" ht="14" thickBot="1" x14ac:dyDescent="0.2">
      <c r="B37" s="9" t="s">
        <v>262</v>
      </c>
      <c r="C37" s="3" t="s">
        <v>262</v>
      </c>
      <c r="E37">
        <v>35</v>
      </c>
      <c r="F37">
        <f t="shared" si="0"/>
        <v>35</v>
      </c>
      <c r="G37" t="e">
        <f t="shared" si="1"/>
        <v>#N/A</v>
      </c>
      <c r="H37">
        <f t="shared" si="2"/>
        <v>35</v>
      </c>
    </row>
    <row r="38" spans="2:8" x14ac:dyDescent="0.15">
      <c r="B38" s="11">
        <v>65</v>
      </c>
      <c r="C38" s="10">
        <v>125</v>
      </c>
      <c r="E38">
        <v>36</v>
      </c>
      <c r="F38" t="e">
        <f t="shared" si="0"/>
        <v>#N/A</v>
      </c>
      <c r="G38">
        <f t="shared" si="1"/>
        <v>36</v>
      </c>
      <c r="H38">
        <f t="shared" si="2"/>
        <v>36</v>
      </c>
    </row>
    <row r="39" spans="2:8" x14ac:dyDescent="0.15">
      <c r="B39" s="9">
        <v>65</v>
      </c>
      <c r="C39" s="10">
        <v>137</v>
      </c>
      <c r="E39">
        <v>37</v>
      </c>
      <c r="F39" t="e">
        <f t="shared" si="0"/>
        <v>#N/A</v>
      </c>
      <c r="G39">
        <f t="shared" si="1"/>
        <v>37</v>
      </c>
      <c r="H39">
        <f t="shared" si="2"/>
        <v>37</v>
      </c>
    </row>
    <row r="40" spans="2:8" ht="14" thickBot="1" x14ac:dyDescent="0.2">
      <c r="B40" s="9" t="s">
        <v>186</v>
      </c>
      <c r="C40" s="10" t="s">
        <v>186</v>
      </c>
      <c r="E40">
        <v>38</v>
      </c>
      <c r="F40" t="e">
        <f t="shared" si="0"/>
        <v>#N/A</v>
      </c>
      <c r="G40">
        <f t="shared" si="1"/>
        <v>38</v>
      </c>
      <c r="H40">
        <f t="shared" si="2"/>
        <v>38</v>
      </c>
    </row>
    <row r="41" spans="2:8" x14ac:dyDescent="0.15">
      <c r="B41" s="11">
        <v>76</v>
      </c>
      <c r="C41" s="13">
        <v>138</v>
      </c>
      <c r="E41">
        <v>39</v>
      </c>
      <c r="F41" t="e">
        <f t="shared" si="0"/>
        <v>#N/A</v>
      </c>
      <c r="G41">
        <f t="shared" si="1"/>
        <v>39</v>
      </c>
      <c r="H41">
        <f t="shared" si="2"/>
        <v>39</v>
      </c>
    </row>
    <row r="42" spans="2:8" x14ac:dyDescent="0.15">
      <c r="B42" s="9">
        <v>76</v>
      </c>
      <c r="C42" s="10">
        <v>138</v>
      </c>
      <c r="E42">
        <v>40</v>
      </c>
      <c r="F42" t="e">
        <f t="shared" si="0"/>
        <v>#N/A</v>
      </c>
      <c r="G42" t="e">
        <f t="shared" si="1"/>
        <v>#N/A</v>
      </c>
      <c r="H42" t="b">
        <f t="shared" si="2"/>
        <v>0</v>
      </c>
    </row>
    <row r="43" spans="2:8" ht="14" thickBot="1" x14ac:dyDescent="0.2">
      <c r="B43" s="9" t="s">
        <v>77</v>
      </c>
      <c r="C43" s="3" t="s">
        <v>77</v>
      </c>
      <c r="E43">
        <v>41</v>
      </c>
      <c r="F43">
        <f t="shared" si="0"/>
        <v>41</v>
      </c>
      <c r="G43" t="e">
        <f t="shared" si="1"/>
        <v>#N/A</v>
      </c>
      <c r="H43">
        <f t="shared" si="2"/>
        <v>41</v>
      </c>
    </row>
    <row r="44" spans="2:8" x14ac:dyDescent="0.15">
      <c r="B44" s="11">
        <v>135</v>
      </c>
      <c r="C44" s="58">
        <v>135</v>
      </c>
      <c r="E44">
        <v>42</v>
      </c>
      <c r="F44">
        <f t="shared" si="0"/>
        <v>42</v>
      </c>
      <c r="G44" t="e">
        <f t="shared" si="1"/>
        <v>#N/A</v>
      </c>
      <c r="H44">
        <f t="shared" si="2"/>
        <v>42</v>
      </c>
    </row>
    <row r="45" spans="2:8" x14ac:dyDescent="0.15">
      <c r="B45" s="9">
        <v>135</v>
      </c>
      <c r="C45" s="62">
        <v>135</v>
      </c>
      <c r="E45">
        <v>43</v>
      </c>
      <c r="F45" t="e">
        <f t="shared" si="0"/>
        <v>#N/A</v>
      </c>
      <c r="G45">
        <f t="shared" si="1"/>
        <v>43</v>
      </c>
      <c r="H45">
        <f t="shared" si="2"/>
        <v>43</v>
      </c>
    </row>
    <row r="46" spans="2:8" ht="14" thickBot="1" x14ac:dyDescent="0.2">
      <c r="B46" s="8" t="s">
        <v>12</v>
      </c>
      <c r="C46" s="3" t="s">
        <v>12</v>
      </c>
      <c r="E46">
        <v>44</v>
      </c>
      <c r="F46">
        <f t="shared" si="0"/>
        <v>44</v>
      </c>
      <c r="G46" t="e">
        <f t="shared" si="1"/>
        <v>#N/A</v>
      </c>
      <c r="H46">
        <f t="shared" si="2"/>
        <v>44</v>
      </c>
    </row>
    <row r="47" spans="2:8" x14ac:dyDescent="0.15">
      <c r="B47" s="11" t="s">
        <v>60</v>
      </c>
      <c r="C47" s="14" t="s">
        <v>60</v>
      </c>
      <c r="E47">
        <v>45</v>
      </c>
      <c r="F47">
        <f t="shared" si="0"/>
        <v>45</v>
      </c>
      <c r="G47" t="e">
        <f t="shared" si="1"/>
        <v>#N/A</v>
      </c>
      <c r="H47">
        <f t="shared" si="2"/>
        <v>45</v>
      </c>
    </row>
    <row r="48" spans="2:8" ht="14" thickBot="1" x14ac:dyDescent="0.2">
      <c r="B48" s="67" t="s">
        <v>240</v>
      </c>
      <c r="C48" s="20" t="s">
        <v>42</v>
      </c>
      <c r="E48">
        <v>46</v>
      </c>
      <c r="F48" t="e">
        <f t="shared" si="0"/>
        <v>#N/A</v>
      </c>
      <c r="G48">
        <f t="shared" si="1"/>
        <v>46</v>
      </c>
      <c r="H48">
        <f t="shared" si="2"/>
        <v>46</v>
      </c>
    </row>
    <row r="49" spans="2:8" x14ac:dyDescent="0.15">
      <c r="B49" s="11">
        <v>1</v>
      </c>
      <c r="C49" s="11">
        <v>1</v>
      </c>
      <c r="E49">
        <v>47</v>
      </c>
      <c r="F49" t="e">
        <f t="shared" si="0"/>
        <v>#N/A</v>
      </c>
      <c r="G49">
        <f t="shared" si="1"/>
        <v>47</v>
      </c>
      <c r="H49">
        <f t="shared" si="2"/>
        <v>47</v>
      </c>
    </row>
    <row r="50" spans="2:8" x14ac:dyDescent="0.15">
      <c r="B50" s="9">
        <v>2</v>
      </c>
      <c r="C50" s="9">
        <v>2</v>
      </c>
      <c r="E50">
        <v>48</v>
      </c>
      <c r="F50" t="e">
        <f t="shared" si="0"/>
        <v>#N/A</v>
      </c>
      <c r="G50">
        <f t="shared" si="1"/>
        <v>48</v>
      </c>
      <c r="H50">
        <f t="shared" si="2"/>
        <v>48</v>
      </c>
    </row>
    <row r="51" spans="2:8" ht="14" thickBot="1" x14ac:dyDescent="0.2">
      <c r="B51" s="8">
        <v>3</v>
      </c>
      <c r="C51" s="8">
        <v>3</v>
      </c>
      <c r="E51">
        <v>49</v>
      </c>
      <c r="F51" t="e">
        <f t="shared" si="0"/>
        <v>#N/A</v>
      </c>
      <c r="G51" t="e">
        <f t="shared" si="1"/>
        <v>#N/A</v>
      </c>
      <c r="H51" t="b">
        <f t="shared" si="2"/>
        <v>0</v>
      </c>
    </row>
    <row r="52" spans="2:8" x14ac:dyDescent="0.15">
      <c r="B52" s="11">
        <v>6</v>
      </c>
      <c r="C52" s="12">
        <v>34</v>
      </c>
      <c r="E52">
        <v>50</v>
      </c>
      <c r="F52" t="e">
        <f t="shared" si="0"/>
        <v>#N/A</v>
      </c>
      <c r="G52" t="e">
        <f t="shared" si="1"/>
        <v>#N/A</v>
      </c>
      <c r="H52" t="b">
        <f t="shared" si="2"/>
        <v>0</v>
      </c>
    </row>
    <row r="53" spans="2:8" x14ac:dyDescent="0.15">
      <c r="B53" s="9" t="s">
        <v>195</v>
      </c>
      <c r="C53" s="1">
        <v>34</v>
      </c>
      <c r="E53">
        <v>51</v>
      </c>
      <c r="F53" t="e">
        <f t="shared" si="0"/>
        <v>#N/A</v>
      </c>
      <c r="G53">
        <f t="shared" si="1"/>
        <v>51</v>
      </c>
      <c r="H53">
        <f t="shared" si="2"/>
        <v>51</v>
      </c>
    </row>
    <row r="54" spans="2:8" ht="14" thickBot="1" x14ac:dyDescent="0.2">
      <c r="B54" s="8" t="s">
        <v>195</v>
      </c>
      <c r="C54" s="2">
        <v>34</v>
      </c>
      <c r="E54">
        <v>52</v>
      </c>
      <c r="F54" t="e">
        <f t="shared" si="0"/>
        <v>#N/A</v>
      </c>
      <c r="G54">
        <f t="shared" si="1"/>
        <v>52</v>
      </c>
      <c r="H54">
        <f t="shared" si="2"/>
        <v>52</v>
      </c>
    </row>
    <row r="55" spans="2:8" x14ac:dyDescent="0.15">
      <c r="B55" s="9" t="s">
        <v>197</v>
      </c>
      <c r="C55" s="1">
        <v>36</v>
      </c>
      <c r="E55">
        <v>53</v>
      </c>
      <c r="F55" t="e">
        <f t="shared" si="0"/>
        <v>#N/A</v>
      </c>
      <c r="G55">
        <f t="shared" si="1"/>
        <v>53</v>
      </c>
      <c r="H55">
        <f t="shared" si="2"/>
        <v>53</v>
      </c>
    </row>
    <row r="56" spans="2:8" x14ac:dyDescent="0.15">
      <c r="B56" s="9" t="s">
        <v>197</v>
      </c>
      <c r="C56" s="1">
        <v>36</v>
      </c>
      <c r="E56">
        <v>54</v>
      </c>
      <c r="F56" t="e">
        <f t="shared" si="0"/>
        <v>#N/A</v>
      </c>
      <c r="G56">
        <f t="shared" si="1"/>
        <v>54</v>
      </c>
      <c r="H56">
        <f t="shared" si="2"/>
        <v>54</v>
      </c>
    </row>
    <row r="57" spans="2:8" ht="14" thickBot="1" x14ac:dyDescent="0.2">
      <c r="B57" s="9">
        <v>10</v>
      </c>
      <c r="C57" s="1">
        <v>36</v>
      </c>
      <c r="E57">
        <v>55</v>
      </c>
      <c r="F57" t="e">
        <f t="shared" si="0"/>
        <v>#N/A</v>
      </c>
      <c r="G57">
        <f t="shared" si="1"/>
        <v>55</v>
      </c>
      <c r="H57">
        <f t="shared" si="2"/>
        <v>55</v>
      </c>
    </row>
    <row r="58" spans="2:8" x14ac:dyDescent="0.15">
      <c r="B58" s="11"/>
      <c r="C58" s="12">
        <v>37</v>
      </c>
      <c r="E58">
        <v>56</v>
      </c>
      <c r="F58" t="e">
        <f t="shared" si="0"/>
        <v>#N/A</v>
      </c>
      <c r="G58" t="e">
        <f t="shared" si="1"/>
        <v>#N/A</v>
      </c>
      <c r="H58" t="b">
        <f t="shared" si="2"/>
        <v>0</v>
      </c>
    </row>
    <row r="59" spans="2:8" x14ac:dyDescent="0.15">
      <c r="B59" s="9"/>
      <c r="C59" s="1">
        <v>37</v>
      </c>
      <c r="E59">
        <v>57</v>
      </c>
      <c r="F59" t="e">
        <f t="shared" si="0"/>
        <v>#N/A</v>
      </c>
      <c r="G59">
        <f t="shared" si="1"/>
        <v>57</v>
      </c>
      <c r="H59">
        <f t="shared" si="2"/>
        <v>57</v>
      </c>
    </row>
    <row r="60" spans="2:8" ht="14" thickBot="1" x14ac:dyDescent="0.2">
      <c r="B60" s="8"/>
      <c r="C60" s="2">
        <v>38</v>
      </c>
      <c r="E60">
        <v>58</v>
      </c>
      <c r="F60" t="e">
        <f t="shared" si="0"/>
        <v>#N/A</v>
      </c>
      <c r="G60">
        <f t="shared" si="1"/>
        <v>58</v>
      </c>
      <c r="H60">
        <f t="shared" si="2"/>
        <v>58</v>
      </c>
    </row>
    <row r="61" spans="2:8" x14ac:dyDescent="0.15">
      <c r="B61" s="9">
        <v>67</v>
      </c>
      <c r="C61" s="1">
        <v>43</v>
      </c>
      <c r="E61">
        <v>59</v>
      </c>
      <c r="F61" t="e">
        <f t="shared" si="0"/>
        <v>#N/A</v>
      </c>
      <c r="G61">
        <f t="shared" si="1"/>
        <v>59</v>
      </c>
      <c r="H61">
        <f t="shared" si="2"/>
        <v>59</v>
      </c>
    </row>
    <row r="62" spans="2:8" x14ac:dyDescent="0.15">
      <c r="B62" s="9">
        <v>67</v>
      </c>
      <c r="C62" s="1">
        <v>43</v>
      </c>
      <c r="E62">
        <v>60</v>
      </c>
      <c r="F62" t="e">
        <f t="shared" si="0"/>
        <v>#N/A</v>
      </c>
      <c r="G62">
        <f t="shared" si="1"/>
        <v>60</v>
      </c>
      <c r="H62">
        <f t="shared" si="2"/>
        <v>60</v>
      </c>
    </row>
    <row r="63" spans="2:8" ht="14" thickBot="1" x14ac:dyDescent="0.2">
      <c r="B63" s="9">
        <v>67</v>
      </c>
      <c r="C63" s="1">
        <v>43</v>
      </c>
      <c r="E63">
        <v>61</v>
      </c>
      <c r="F63" t="e">
        <f t="shared" si="0"/>
        <v>#N/A</v>
      </c>
      <c r="G63">
        <f t="shared" si="1"/>
        <v>61</v>
      </c>
      <c r="H63">
        <f t="shared" si="2"/>
        <v>61</v>
      </c>
    </row>
    <row r="64" spans="2:8" x14ac:dyDescent="0.15">
      <c r="B64" s="11">
        <v>19</v>
      </c>
      <c r="C64" s="12"/>
      <c r="E64">
        <v>62</v>
      </c>
      <c r="F64" t="e">
        <f t="shared" si="0"/>
        <v>#N/A</v>
      </c>
      <c r="G64">
        <f t="shared" si="1"/>
        <v>62</v>
      </c>
      <c r="H64">
        <f t="shared" si="2"/>
        <v>62</v>
      </c>
    </row>
    <row r="65" spans="2:8" x14ac:dyDescent="0.15">
      <c r="B65" s="9">
        <v>20</v>
      </c>
      <c r="C65" s="1">
        <v>51</v>
      </c>
      <c r="E65">
        <v>63</v>
      </c>
      <c r="F65" t="e">
        <f t="shared" si="0"/>
        <v>#N/A</v>
      </c>
      <c r="G65">
        <f t="shared" si="1"/>
        <v>63</v>
      </c>
      <c r="H65">
        <f t="shared" si="2"/>
        <v>63</v>
      </c>
    </row>
    <row r="66" spans="2:8" ht="14" thickBot="1" x14ac:dyDescent="0.2">
      <c r="B66" s="8"/>
      <c r="C66" s="2">
        <v>57</v>
      </c>
      <c r="E66">
        <v>64</v>
      </c>
      <c r="F66" t="e">
        <f t="shared" si="0"/>
        <v>#N/A</v>
      </c>
      <c r="G66">
        <f t="shared" si="1"/>
        <v>64</v>
      </c>
      <c r="H66">
        <f t="shared" si="2"/>
        <v>64</v>
      </c>
    </row>
    <row r="67" spans="2:8" x14ac:dyDescent="0.15">
      <c r="B67" s="9">
        <v>30</v>
      </c>
      <c r="C67" s="1">
        <v>58</v>
      </c>
      <c r="E67">
        <v>65</v>
      </c>
      <c r="F67">
        <f t="shared" si="0"/>
        <v>65</v>
      </c>
      <c r="G67" t="e">
        <f t="shared" si="1"/>
        <v>#N/A</v>
      </c>
      <c r="H67">
        <f t="shared" si="2"/>
        <v>65</v>
      </c>
    </row>
    <row r="68" spans="2:8" x14ac:dyDescent="0.15">
      <c r="B68" s="9">
        <v>30</v>
      </c>
      <c r="C68" s="1">
        <v>58</v>
      </c>
      <c r="E68">
        <v>66</v>
      </c>
      <c r="F68" t="e">
        <f t="shared" ref="F68:F131" si="3">VLOOKUP($E68,$B$1:$B$161,1,FALSE)</f>
        <v>#N/A</v>
      </c>
      <c r="G68" t="e">
        <f t="shared" ref="G68:G131" si="4">VLOOKUP($E68,$C$1:$C$161,1,FALSE)</f>
        <v>#N/A</v>
      </c>
      <c r="H68" t="b">
        <f t="shared" ref="H68:H131" si="5">IF(ISNA(F68),IF(ISNA(G68),FALSE,E68),E68)</f>
        <v>0</v>
      </c>
    </row>
    <row r="69" spans="2:8" ht="14" thickBot="1" x14ac:dyDescent="0.2">
      <c r="B69" s="8">
        <v>30</v>
      </c>
      <c r="C69" s="2">
        <v>59</v>
      </c>
      <c r="E69">
        <v>67</v>
      </c>
      <c r="F69">
        <f t="shared" si="3"/>
        <v>67</v>
      </c>
      <c r="G69" t="e">
        <f t="shared" si="4"/>
        <v>#N/A</v>
      </c>
      <c r="H69">
        <f t="shared" si="5"/>
        <v>67</v>
      </c>
    </row>
    <row r="70" spans="2:8" x14ac:dyDescent="0.15">
      <c r="B70" s="14" t="s">
        <v>60</v>
      </c>
      <c r="C70" s="186" t="s">
        <v>60</v>
      </c>
      <c r="E70">
        <v>68</v>
      </c>
      <c r="F70">
        <f t="shared" si="3"/>
        <v>68</v>
      </c>
      <c r="G70" t="e">
        <f t="shared" si="4"/>
        <v>#N/A</v>
      </c>
      <c r="H70">
        <f t="shared" si="5"/>
        <v>68</v>
      </c>
    </row>
    <row r="71" spans="2:8" ht="14" thickBot="1" x14ac:dyDescent="0.2">
      <c r="B71" s="20" t="s">
        <v>274</v>
      </c>
      <c r="C71" s="20" t="s">
        <v>275</v>
      </c>
      <c r="E71">
        <v>69</v>
      </c>
      <c r="F71" t="e">
        <f t="shared" si="3"/>
        <v>#N/A</v>
      </c>
      <c r="G71" t="e">
        <f t="shared" si="4"/>
        <v>#N/A</v>
      </c>
      <c r="H71" t="b">
        <f t="shared" si="5"/>
        <v>0</v>
      </c>
    </row>
    <row r="72" spans="2:8" x14ac:dyDescent="0.15">
      <c r="B72" s="11">
        <v>1</v>
      </c>
      <c r="C72" s="43">
        <v>1</v>
      </c>
      <c r="E72">
        <v>70</v>
      </c>
      <c r="F72">
        <f t="shared" si="3"/>
        <v>70</v>
      </c>
      <c r="G72" t="e">
        <f t="shared" si="4"/>
        <v>#N/A</v>
      </c>
      <c r="H72">
        <f t="shared" si="5"/>
        <v>70</v>
      </c>
    </row>
    <row r="73" spans="2:8" x14ac:dyDescent="0.15">
      <c r="B73" s="9">
        <v>2</v>
      </c>
      <c r="C73" s="197">
        <v>2</v>
      </c>
      <c r="E73">
        <v>71</v>
      </c>
      <c r="F73" t="e">
        <f t="shared" si="3"/>
        <v>#N/A</v>
      </c>
      <c r="G73" t="e">
        <f t="shared" si="4"/>
        <v>#N/A</v>
      </c>
      <c r="H73" t="b">
        <f t="shared" si="5"/>
        <v>0</v>
      </c>
    </row>
    <row r="74" spans="2:8" ht="14" thickBot="1" x14ac:dyDescent="0.2">
      <c r="B74" s="8">
        <v>3</v>
      </c>
      <c r="C74" s="67">
        <v>3</v>
      </c>
      <c r="E74">
        <v>72</v>
      </c>
      <c r="F74">
        <f t="shared" si="3"/>
        <v>72</v>
      </c>
      <c r="G74" t="e">
        <f t="shared" si="4"/>
        <v>#N/A</v>
      </c>
      <c r="H74">
        <f t="shared" si="5"/>
        <v>72</v>
      </c>
    </row>
    <row r="75" spans="2:8" x14ac:dyDescent="0.15">
      <c r="B75" s="47">
        <v>68</v>
      </c>
      <c r="C75" s="18"/>
      <c r="E75">
        <v>73</v>
      </c>
      <c r="F75">
        <f t="shared" si="3"/>
        <v>73</v>
      </c>
      <c r="G75" t="e">
        <f t="shared" si="4"/>
        <v>#N/A</v>
      </c>
      <c r="H75">
        <f t="shared" si="5"/>
        <v>73</v>
      </c>
    </row>
    <row r="76" spans="2:8" x14ac:dyDescent="0.15">
      <c r="B76" s="50">
        <v>68</v>
      </c>
      <c r="C76" s="19"/>
      <c r="E76">
        <v>74</v>
      </c>
      <c r="F76">
        <f t="shared" si="3"/>
        <v>74</v>
      </c>
      <c r="G76" t="e">
        <f t="shared" si="4"/>
        <v>#N/A</v>
      </c>
      <c r="H76">
        <f t="shared" si="5"/>
        <v>74</v>
      </c>
    </row>
    <row r="77" spans="2:8" ht="14" thickBot="1" x14ac:dyDescent="0.2">
      <c r="B77" s="46">
        <v>68</v>
      </c>
      <c r="C77" s="20"/>
      <c r="E77">
        <v>75</v>
      </c>
      <c r="F77">
        <f t="shared" si="3"/>
        <v>75</v>
      </c>
      <c r="G77">
        <f t="shared" si="4"/>
        <v>75</v>
      </c>
      <c r="H77">
        <f t="shared" si="5"/>
        <v>75</v>
      </c>
    </row>
    <row r="78" spans="2:8" x14ac:dyDescent="0.15">
      <c r="B78" s="50">
        <v>72</v>
      </c>
      <c r="C78" s="19">
        <v>103</v>
      </c>
      <c r="E78">
        <v>76</v>
      </c>
      <c r="F78">
        <f t="shared" si="3"/>
        <v>76</v>
      </c>
      <c r="G78" t="e">
        <f t="shared" si="4"/>
        <v>#N/A</v>
      </c>
      <c r="H78">
        <f t="shared" si="5"/>
        <v>76</v>
      </c>
    </row>
    <row r="79" spans="2:8" x14ac:dyDescent="0.15">
      <c r="B79" s="50">
        <v>72</v>
      </c>
      <c r="C79" s="19">
        <v>103</v>
      </c>
      <c r="E79">
        <v>77</v>
      </c>
      <c r="F79">
        <f t="shared" si="3"/>
        <v>77</v>
      </c>
      <c r="G79" t="e">
        <f t="shared" si="4"/>
        <v>#N/A</v>
      </c>
      <c r="H79">
        <f t="shared" si="5"/>
        <v>77</v>
      </c>
    </row>
    <row r="80" spans="2:8" ht="14" thickBot="1" x14ac:dyDescent="0.2">
      <c r="B80" s="48">
        <v>72</v>
      </c>
      <c r="C80" s="19">
        <v>103</v>
      </c>
      <c r="E80">
        <v>78</v>
      </c>
      <c r="F80">
        <f t="shared" si="3"/>
        <v>78</v>
      </c>
      <c r="G80" t="e">
        <f t="shared" si="4"/>
        <v>#N/A</v>
      </c>
      <c r="H80">
        <f t="shared" si="5"/>
        <v>78</v>
      </c>
    </row>
    <row r="81" spans="2:8" x14ac:dyDescent="0.15">
      <c r="B81" s="49">
        <v>77</v>
      </c>
      <c r="C81" s="18">
        <v>104</v>
      </c>
      <c r="E81">
        <v>79</v>
      </c>
      <c r="F81" t="e">
        <f t="shared" si="3"/>
        <v>#N/A</v>
      </c>
      <c r="G81" t="e">
        <f t="shared" si="4"/>
        <v>#N/A</v>
      </c>
      <c r="H81" t="b">
        <f t="shared" si="5"/>
        <v>0</v>
      </c>
    </row>
    <row r="82" spans="2:8" x14ac:dyDescent="0.15">
      <c r="B82" s="50">
        <v>77</v>
      </c>
      <c r="C82" s="19">
        <v>104</v>
      </c>
      <c r="E82">
        <v>80</v>
      </c>
      <c r="F82">
        <f t="shared" si="3"/>
        <v>80</v>
      </c>
      <c r="G82" t="e">
        <f t="shared" si="4"/>
        <v>#N/A</v>
      </c>
      <c r="H82">
        <f t="shared" si="5"/>
        <v>80</v>
      </c>
    </row>
    <row r="83" spans="2:8" ht="14" thickBot="1" x14ac:dyDescent="0.2">
      <c r="B83" s="46">
        <v>77</v>
      </c>
      <c r="C83" s="20">
        <v>104</v>
      </c>
      <c r="E83">
        <v>81</v>
      </c>
      <c r="F83" t="e">
        <f t="shared" si="3"/>
        <v>#N/A</v>
      </c>
      <c r="G83">
        <f t="shared" si="4"/>
        <v>81</v>
      </c>
      <c r="H83">
        <f t="shared" si="5"/>
        <v>81</v>
      </c>
    </row>
    <row r="84" spans="2:8" x14ac:dyDescent="0.15">
      <c r="B84" s="50">
        <v>77</v>
      </c>
      <c r="C84" s="19">
        <v>105</v>
      </c>
      <c r="E84">
        <v>82</v>
      </c>
      <c r="F84">
        <f t="shared" si="3"/>
        <v>82</v>
      </c>
      <c r="G84" t="e">
        <f t="shared" si="4"/>
        <v>#N/A</v>
      </c>
      <c r="H84">
        <f t="shared" si="5"/>
        <v>82</v>
      </c>
    </row>
    <row r="85" spans="2:8" x14ac:dyDescent="0.15">
      <c r="B85" s="50">
        <v>77</v>
      </c>
      <c r="C85" s="19">
        <v>105</v>
      </c>
      <c r="E85">
        <v>83</v>
      </c>
      <c r="F85" t="e">
        <f t="shared" si="3"/>
        <v>#N/A</v>
      </c>
      <c r="G85">
        <f t="shared" si="4"/>
        <v>83</v>
      </c>
      <c r="H85">
        <f t="shared" si="5"/>
        <v>83</v>
      </c>
    </row>
    <row r="86" spans="2:8" ht="14" thickBot="1" x14ac:dyDescent="0.2">
      <c r="B86" s="7">
        <v>77</v>
      </c>
      <c r="C86" s="19">
        <v>105</v>
      </c>
      <c r="E86">
        <v>84</v>
      </c>
      <c r="F86" t="e">
        <f t="shared" si="3"/>
        <v>#N/A</v>
      </c>
      <c r="G86" t="e">
        <f t="shared" si="4"/>
        <v>#N/A</v>
      </c>
      <c r="H86" t="b">
        <f t="shared" si="5"/>
        <v>0</v>
      </c>
    </row>
    <row r="87" spans="2:8" x14ac:dyDescent="0.15">
      <c r="B87" s="49">
        <v>78</v>
      </c>
      <c r="C87" s="18">
        <v>106</v>
      </c>
      <c r="E87">
        <v>85</v>
      </c>
      <c r="F87" t="e">
        <f t="shared" si="3"/>
        <v>#N/A</v>
      </c>
      <c r="G87" t="e">
        <f t="shared" si="4"/>
        <v>#N/A</v>
      </c>
      <c r="H87" t="b">
        <f t="shared" si="5"/>
        <v>0</v>
      </c>
    </row>
    <row r="88" spans="2:8" x14ac:dyDescent="0.15">
      <c r="B88" s="50">
        <v>82</v>
      </c>
      <c r="C88" s="19">
        <v>106</v>
      </c>
      <c r="E88">
        <v>86</v>
      </c>
      <c r="F88" t="e">
        <f t="shared" si="3"/>
        <v>#N/A</v>
      </c>
      <c r="G88">
        <f t="shared" si="4"/>
        <v>86</v>
      </c>
      <c r="H88">
        <f t="shared" si="5"/>
        <v>86</v>
      </c>
    </row>
    <row r="89" spans="2:8" ht="14" thickBot="1" x14ac:dyDescent="0.2">
      <c r="B89" s="46">
        <v>100</v>
      </c>
      <c r="C89" s="20">
        <v>106</v>
      </c>
      <c r="E89">
        <v>87</v>
      </c>
      <c r="F89" t="e">
        <f t="shared" si="3"/>
        <v>#N/A</v>
      </c>
      <c r="G89">
        <f t="shared" si="4"/>
        <v>87</v>
      </c>
      <c r="H89">
        <f t="shared" si="5"/>
        <v>87</v>
      </c>
    </row>
    <row r="90" spans="2:8" x14ac:dyDescent="0.15">
      <c r="B90" s="50">
        <v>101</v>
      </c>
      <c r="C90" s="19">
        <v>108</v>
      </c>
      <c r="E90">
        <v>88</v>
      </c>
      <c r="F90" t="e">
        <f t="shared" si="3"/>
        <v>#N/A</v>
      </c>
      <c r="G90" t="e">
        <f t="shared" si="4"/>
        <v>#N/A</v>
      </c>
      <c r="H90" t="b">
        <f t="shared" si="5"/>
        <v>0</v>
      </c>
    </row>
    <row r="91" spans="2:8" x14ac:dyDescent="0.15">
      <c r="B91" s="50">
        <v>101</v>
      </c>
      <c r="C91" s="19">
        <v>108</v>
      </c>
      <c r="E91">
        <v>89</v>
      </c>
      <c r="F91" t="e">
        <f t="shared" si="3"/>
        <v>#N/A</v>
      </c>
      <c r="G91" t="e">
        <f t="shared" si="4"/>
        <v>#N/A</v>
      </c>
      <c r="H91" t="b">
        <f t="shared" si="5"/>
        <v>0</v>
      </c>
    </row>
    <row r="92" spans="2:8" ht="14" thickBot="1" x14ac:dyDescent="0.2">
      <c r="B92" s="46">
        <v>101</v>
      </c>
      <c r="C92" s="20">
        <v>108</v>
      </c>
      <c r="E92">
        <v>90</v>
      </c>
      <c r="F92">
        <f t="shared" si="3"/>
        <v>90</v>
      </c>
      <c r="G92" t="e">
        <f t="shared" si="4"/>
        <v>#N/A</v>
      </c>
      <c r="H92">
        <f t="shared" si="5"/>
        <v>90</v>
      </c>
    </row>
    <row r="93" spans="2:8" x14ac:dyDescent="0.15">
      <c r="B93" s="43" t="s">
        <v>40</v>
      </c>
      <c r="C93" s="43" t="s">
        <v>40</v>
      </c>
      <c r="E93">
        <v>91</v>
      </c>
      <c r="F93">
        <f t="shared" si="3"/>
        <v>91</v>
      </c>
      <c r="G93" t="e">
        <f t="shared" si="4"/>
        <v>#N/A</v>
      </c>
      <c r="H93">
        <f t="shared" si="5"/>
        <v>91</v>
      </c>
    </row>
    <row r="94" spans="2:8" ht="14" thickBot="1" x14ac:dyDescent="0.2">
      <c r="B94" s="67" t="s">
        <v>61</v>
      </c>
      <c r="C94" s="20" t="s">
        <v>62</v>
      </c>
      <c r="E94">
        <v>92</v>
      </c>
      <c r="F94" t="e">
        <f t="shared" si="3"/>
        <v>#N/A</v>
      </c>
      <c r="G94" t="e">
        <f t="shared" si="4"/>
        <v>#N/A</v>
      </c>
      <c r="H94" t="b">
        <f t="shared" si="5"/>
        <v>0</v>
      </c>
    </row>
    <row r="95" spans="2:8" x14ac:dyDescent="0.15">
      <c r="B95" s="11">
        <v>22</v>
      </c>
      <c r="C95" s="12">
        <v>22</v>
      </c>
      <c r="E95">
        <v>93</v>
      </c>
      <c r="F95" t="e">
        <f t="shared" si="3"/>
        <v>#N/A</v>
      </c>
      <c r="G95">
        <f t="shared" si="4"/>
        <v>93</v>
      </c>
      <c r="H95">
        <f t="shared" si="5"/>
        <v>93</v>
      </c>
    </row>
    <row r="96" spans="2:8" x14ac:dyDescent="0.15">
      <c r="B96" s="9">
        <v>75</v>
      </c>
      <c r="C96" s="1">
        <v>75</v>
      </c>
      <c r="E96">
        <v>94</v>
      </c>
      <c r="F96" t="e">
        <f t="shared" si="3"/>
        <v>#N/A</v>
      </c>
      <c r="G96" t="e">
        <f t="shared" si="4"/>
        <v>#N/A</v>
      </c>
      <c r="H96" t="b">
        <f t="shared" si="5"/>
        <v>0</v>
      </c>
    </row>
    <row r="97" spans="2:8" ht="14" thickBot="1" x14ac:dyDescent="0.2">
      <c r="B97" s="8">
        <v>75</v>
      </c>
      <c r="C97" s="6">
        <v>75</v>
      </c>
      <c r="E97">
        <v>95</v>
      </c>
      <c r="F97">
        <f t="shared" si="3"/>
        <v>95</v>
      </c>
      <c r="G97" t="e">
        <f t="shared" si="4"/>
        <v>#N/A</v>
      </c>
      <c r="H97">
        <f t="shared" si="5"/>
        <v>95</v>
      </c>
    </row>
    <row r="98" spans="2:8" x14ac:dyDescent="0.15">
      <c r="B98" s="11" t="s">
        <v>210</v>
      </c>
      <c r="C98" s="14" t="s">
        <v>130</v>
      </c>
      <c r="E98">
        <v>96</v>
      </c>
      <c r="F98">
        <f t="shared" si="3"/>
        <v>96</v>
      </c>
      <c r="G98" t="e">
        <f t="shared" si="4"/>
        <v>#N/A</v>
      </c>
      <c r="H98">
        <f t="shared" si="5"/>
        <v>96</v>
      </c>
    </row>
    <row r="99" spans="2:8" x14ac:dyDescent="0.15">
      <c r="B99" s="9">
        <v>7</v>
      </c>
      <c r="C99" s="1">
        <v>39</v>
      </c>
      <c r="E99">
        <v>97</v>
      </c>
      <c r="F99">
        <f t="shared" si="3"/>
        <v>97</v>
      </c>
      <c r="G99" t="e">
        <f t="shared" si="4"/>
        <v>#N/A</v>
      </c>
      <c r="H99">
        <f t="shared" si="5"/>
        <v>97</v>
      </c>
    </row>
    <row r="100" spans="2:8" ht="14" thickBot="1" x14ac:dyDescent="0.2">
      <c r="B100" s="8">
        <v>7</v>
      </c>
      <c r="C100" s="6">
        <v>39</v>
      </c>
      <c r="E100">
        <v>98</v>
      </c>
      <c r="F100">
        <f t="shared" si="3"/>
        <v>98</v>
      </c>
      <c r="G100" t="e">
        <f t="shared" si="4"/>
        <v>#N/A</v>
      </c>
      <c r="H100">
        <f t="shared" si="5"/>
        <v>98</v>
      </c>
    </row>
    <row r="101" spans="2:8" x14ac:dyDescent="0.15">
      <c r="B101" s="11" t="s">
        <v>225</v>
      </c>
      <c r="C101" s="14" t="s">
        <v>131</v>
      </c>
      <c r="E101">
        <v>99</v>
      </c>
      <c r="F101">
        <f t="shared" si="3"/>
        <v>99</v>
      </c>
      <c r="G101" t="e">
        <f t="shared" si="4"/>
        <v>#N/A</v>
      </c>
      <c r="H101">
        <f t="shared" si="5"/>
        <v>99</v>
      </c>
    </row>
    <row r="102" spans="2:8" x14ac:dyDescent="0.15">
      <c r="B102" s="9">
        <v>11</v>
      </c>
      <c r="C102" s="1">
        <v>48</v>
      </c>
      <c r="E102">
        <v>100</v>
      </c>
      <c r="F102">
        <f t="shared" si="3"/>
        <v>100</v>
      </c>
      <c r="G102" t="e">
        <f t="shared" si="4"/>
        <v>#N/A</v>
      </c>
      <c r="H102">
        <f t="shared" si="5"/>
        <v>100</v>
      </c>
    </row>
    <row r="103" spans="2:8" ht="14" thickBot="1" x14ac:dyDescent="0.2">
      <c r="B103" s="8">
        <v>12</v>
      </c>
      <c r="C103" s="6">
        <v>48</v>
      </c>
      <c r="E103">
        <v>101</v>
      </c>
      <c r="F103">
        <f t="shared" si="3"/>
        <v>101</v>
      </c>
      <c r="G103" t="e">
        <f t="shared" si="4"/>
        <v>#N/A</v>
      </c>
      <c r="H103">
        <f t="shared" si="5"/>
        <v>101</v>
      </c>
    </row>
    <row r="104" spans="2:8" x14ac:dyDescent="0.15">
      <c r="B104" s="42" t="s">
        <v>125</v>
      </c>
      <c r="C104" s="52" t="s">
        <v>129</v>
      </c>
      <c r="E104">
        <v>102</v>
      </c>
      <c r="F104" t="e">
        <f t="shared" si="3"/>
        <v>#N/A</v>
      </c>
      <c r="G104">
        <f t="shared" si="4"/>
        <v>102</v>
      </c>
      <c r="H104">
        <f t="shared" si="5"/>
        <v>102</v>
      </c>
    </row>
    <row r="105" spans="2:8" x14ac:dyDescent="0.15">
      <c r="B105" s="9">
        <v>13</v>
      </c>
      <c r="C105" s="1">
        <v>52</v>
      </c>
      <c r="E105">
        <v>103</v>
      </c>
      <c r="F105" t="e">
        <f t="shared" si="3"/>
        <v>#N/A</v>
      </c>
      <c r="G105">
        <f t="shared" si="4"/>
        <v>103</v>
      </c>
      <c r="H105">
        <f t="shared" si="5"/>
        <v>103</v>
      </c>
    </row>
    <row r="106" spans="2:8" ht="14" thickBot="1" x14ac:dyDescent="0.2">
      <c r="B106" s="8">
        <v>14</v>
      </c>
      <c r="C106" s="6">
        <v>53</v>
      </c>
      <c r="E106">
        <v>104</v>
      </c>
      <c r="F106" t="e">
        <f t="shared" si="3"/>
        <v>#N/A</v>
      </c>
      <c r="G106">
        <f t="shared" si="4"/>
        <v>104</v>
      </c>
      <c r="H106">
        <f t="shared" si="5"/>
        <v>104</v>
      </c>
    </row>
    <row r="107" spans="2:8" x14ac:dyDescent="0.15">
      <c r="B107" s="9" t="s">
        <v>126</v>
      </c>
      <c r="C107" s="7" t="s">
        <v>132</v>
      </c>
      <c r="E107">
        <v>105</v>
      </c>
      <c r="F107" t="e">
        <f t="shared" si="3"/>
        <v>#N/A</v>
      </c>
      <c r="G107">
        <f t="shared" si="4"/>
        <v>105</v>
      </c>
      <c r="H107">
        <f t="shared" si="5"/>
        <v>105</v>
      </c>
    </row>
    <row r="108" spans="2:8" x14ac:dyDescent="0.15">
      <c r="B108" s="9">
        <v>41</v>
      </c>
      <c r="C108" s="1">
        <v>54</v>
      </c>
      <c r="E108">
        <v>106</v>
      </c>
      <c r="F108" t="e">
        <f t="shared" si="3"/>
        <v>#N/A</v>
      </c>
      <c r="G108">
        <f t="shared" si="4"/>
        <v>106</v>
      </c>
      <c r="H108">
        <f t="shared" si="5"/>
        <v>106</v>
      </c>
    </row>
    <row r="109" spans="2:8" ht="14" thickBot="1" x14ac:dyDescent="0.2">
      <c r="B109" s="8"/>
      <c r="C109" s="6">
        <v>54</v>
      </c>
      <c r="E109">
        <v>107</v>
      </c>
      <c r="F109" t="e">
        <f t="shared" si="3"/>
        <v>#N/A</v>
      </c>
      <c r="G109" t="e">
        <f t="shared" si="4"/>
        <v>#N/A</v>
      </c>
      <c r="H109" t="b">
        <f t="shared" si="5"/>
        <v>0</v>
      </c>
    </row>
    <row r="110" spans="2:8" x14ac:dyDescent="0.15">
      <c r="B110" s="42" t="s">
        <v>127</v>
      </c>
      <c r="C110" s="52" t="s">
        <v>133</v>
      </c>
      <c r="E110">
        <v>108</v>
      </c>
      <c r="F110" t="e">
        <f t="shared" si="3"/>
        <v>#N/A</v>
      </c>
      <c r="G110">
        <f t="shared" si="4"/>
        <v>108</v>
      </c>
      <c r="H110">
        <f t="shared" si="5"/>
        <v>108</v>
      </c>
    </row>
    <row r="111" spans="2:8" x14ac:dyDescent="0.15">
      <c r="B111" s="9">
        <v>25</v>
      </c>
      <c r="C111" s="1">
        <v>55</v>
      </c>
      <c r="E111">
        <v>109</v>
      </c>
      <c r="F111">
        <f t="shared" si="3"/>
        <v>109</v>
      </c>
      <c r="G111">
        <f t="shared" si="4"/>
        <v>109</v>
      </c>
      <c r="H111">
        <f t="shared" si="5"/>
        <v>109</v>
      </c>
    </row>
    <row r="112" spans="2:8" ht="14" thickBot="1" x14ac:dyDescent="0.2">
      <c r="B112" s="8"/>
      <c r="C112" s="6">
        <v>60</v>
      </c>
      <c r="E112">
        <v>110</v>
      </c>
      <c r="F112" t="e">
        <f t="shared" si="3"/>
        <v>#N/A</v>
      </c>
      <c r="G112" t="e">
        <f t="shared" si="4"/>
        <v>#N/A</v>
      </c>
      <c r="H112" t="b">
        <f t="shared" si="5"/>
        <v>0</v>
      </c>
    </row>
    <row r="113" spans="2:8" x14ac:dyDescent="0.15">
      <c r="B113" s="9" t="s">
        <v>128</v>
      </c>
      <c r="C113" s="7" t="s">
        <v>134</v>
      </c>
      <c r="E113">
        <v>111</v>
      </c>
      <c r="F113" t="e">
        <f t="shared" si="3"/>
        <v>#N/A</v>
      </c>
      <c r="G113" t="e">
        <f t="shared" si="4"/>
        <v>#N/A</v>
      </c>
      <c r="H113" t="b">
        <f t="shared" si="5"/>
        <v>0</v>
      </c>
    </row>
    <row r="114" spans="2:8" x14ac:dyDescent="0.15">
      <c r="B114" s="9">
        <v>33</v>
      </c>
      <c r="C114" s="1">
        <v>61</v>
      </c>
      <c r="E114">
        <v>112</v>
      </c>
      <c r="F114" t="e">
        <f t="shared" si="3"/>
        <v>#N/A</v>
      </c>
      <c r="G114" t="e">
        <f t="shared" si="4"/>
        <v>#N/A</v>
      </c>
      <c r="H114" t="b">
        <f t="shared" si="5"/>
        <v>0</v>
      </c>
    </row>
    <row r="115" spans="2:8" ht="14" thickBot="1" x14ac:dyDescent="0.2">
      <c r="B115" s="8">
        <v>33</v>
      </c>
      <c r="C115" s="6">
        <v>63</v>
      </c>
      <c r="E115">
        <v>113</v>
      </c>
      <c r="F115" t="e">
        <f t="shared" si="3"/>
        <v>#N/A</v>
      </c>
      <c r="G115" t="e">
        <f t="shared" si="4"/>
        <v>#N/A</v>
      </c>
      <c r="H115" t="b">
        <f t="shared" si="5"/>
        <v>0</v>
      </c>
    </row>
    <row r="116" spans="2:8" x14ac:dyDescent="0.15">
      <c r="B116" s="43" t="s">
        <v>40</v>
      </c>
      <c r="C116" s="65" t="s">
        <v>40</v>
      </c>
      <c r="E116">
        <v>114</v>
      </c>
      <c r="F116" t="e">
        <f t="shared" si="3"/>
        <v>#N/A</v>
      </c>
      <c r="G116">
        <f t="shared" si="4"/>
        <v>114</v>
      </c>
      <c r="H116">
        <f t="shared" si="5"/>
        <v>114</v>
      </c>
    </row>
    <row r="117" spans="2:8" ht="14" thickBot="1" x14ac:dyDescent="0.2">
      <c r="B117" s="20" t="s">
        <v>63</v>
      </c>
      <c r="C117" s="3" t="s">
        <v>64</v>
      </c>
      <c r="E117">
        <v>115</v>
      </c>
      <c r="F117" t="e">
        <f t="shared" si="3"/>
        <v>#N/A</v>
      </c>
      <c r="G117">
        <f t="shared" si="4"/>
        <v>115</v>
      </c>
      <c r="H117">
        <f t="shared" si="5"/>
        <v>115</v>
      </c>
    </row>
    <row r="118" spans="2:8" x14ac:dyDescent="0.15">
      <c r="B118" s="12">
        <v>22</v>
      </c>
      <c r="C118" s="13">
        <v>22</v>
      </c>
      <c r="E118">
        <v>116</v>
      </c>
      <c r="F118" t="e">
        <f t="shared" si="3"/>
        <v>#N/A</v>
      </c>
      <c r="G118" t="e">
        <f t="shared" si="4"/>
        <v>#N/A</v>
      </c>
      <c r="H118" t="b">
        <f t="shared" si="5"/>
        <v>0</v>
      </c>
    </row>
    <row r="119" spans="2:8" x14ac:dyDescent="0.15">
      <c r="B119" s="1">
        <v>75</v>
      </c>
      <c r="C119" s="10">
        <v>75</v>
      </c>
      <c r="E119">
        <v>117</v>
      </c>
      <c r="F119">
        <f t="shared" si="3"/>
        <v>117</v>
      </c>
      <c r="G119">
        <f t="shared" si="4"/>
        <v>117</v>
      </c>
      <c r="H119">
        <f t="shared" si="5"/>
        <v>117</v>
      </c>
    </row>
    <row r="120" spans="2:8" ht="14" thickBot="1" x14ac:dyDescent="0.2">
      <c r="B120" s="6">
        <v>75</v>
      </c>
      <c r="C120" s="57">
        <v>75</v>
      </c>
      <c r="E120">
        <v>118</v>
      </c>
      <c r="F120" t="e">
        <f t="shared" si="3"/>
        <v>#N/A</v>
      </c>
      <c r="G120" t="e">
        <f t="shared" si="4"/>
        <v>#N/A</v>
      </c>
      <c r="H120" t="b">
        <f t="shared" si="5"/>
        <v>0</v>
      </c>
    </row>
    <row r="121" spans="2:8" x14ac:dyDescent="0.15">
      <c r="B121" s="14" t="s">
        <v>135</v>
      </c>
      <c r="C121" s="58" t="s">
        <v>145</v>
      </c>
      <c r="E121">
        <v>119</v>
      </c>
      <c r="F121" t="e">
        <f t="shared" si="3"/>
        <v>#N/A</v>
      </c>
      <c r="G121">
        <f t="shared" si="4"/>
        <v>119</v>
      </c>
      <c r="H121">
        <f t="shared" si="5"/>
        <v>119</v>
      </c>
    </row>
    <row r="122" spans="2:8" x14ac:dyDescent="0.15">
      <c r="B122" s="1">
        <v>70</v>
      </c>
      <c r="C122" s="62">
        <v>81</v>
      </c>
      <c r="E122">
        <v>120</v>
      </c>
      <c r="F122" t="e">
        <f t="shared" si="3"/>
        <v>#N/A</v>
      </c>
      <c r="G122">
        <f t="shared" si="4"/>
        <v>120</v>
      </c>
      <c r="H122">
        <f t="shared" si="5"/>
        <v>120</v>
      </c>
    </row>
    <row r="123" spans="2:8" ht="14" thickBot="1" x14ac:dyDescent="0.2">
      <c r="B123" s="6">
        <v>70</v>
      </c>
      <c r="C123" s="57">
        <v>119</v>
      </c>
      <c r="E123">
        <v>121</v>
      </c>
      <c r="F123" t="e">
        <f t="shared" si="3"/>
        <v>#N/A</v>
      </c>
      <c r="G123">
        <f t="shared" si="4"/>
        <v>121</v>
      </c>
      <c r="H123">
        <f t="shared" si="5"/>
        <v>121</v>
      </c>
    </row>
    <row r="124" spans="2:8" x14ac:dyDescent="0.15">
      <c r="B124" s="14" t="s">
        <v>136</v>
      </c>
      <c r="C124" s="58" t="s">
        <v>140</v>
      </c>
      <c r="E124">
        <v>122</v>
      </c>
      <c r="F124" t="e">
        <f t="shared" si="3"/>
        <v>#N/A</v>
      </c>
      <c r="G124" t="e">
        <f t="shared" si="4"/>
        <v>#N/A</v>
      </c>
      <c r="H124" t="b">
        <f t="shared" si="5"/>
        <v>0</v>
      </c>
    </row>
    <row r="125" spans="2:8" x14ac:dyDescent="0.15">
      <c r="B125" s="1">
        <v>73</v>
      </c>
      <c r="C125" s="62">
        <v>87</v>
      </c>
      <c r="E125">
        <v>123</v>
      </c>
      <c r="F125" t="e">
        <f t="shared" si="3"/>
        <v>#N/A</v>
      </c>
      <c r="G125" t="e">
        <f t="shared" si="4"/>
        <v>#N/A</v>
      </c>
      <c r="H125" t="b">
        <f t="shared" si="5"/>
        <v>0</v>
      </c>
    </row>
    <row r="126" spans="2:8" ht="14" thickBot="1" x14ac:dyDescent="0.2">
      <c r="B126" s="6">
        <v>73</v>
      </c>
      <c r="C126" s="57">
        <v>87</v>
      </c>
      <c r="E126">
        <v>124</v>
      </c>
      <c r="F126" t="e">
        <f t="shared" si="3"/>
        <v>#N/A</v>
      </c>
      <c r="G126" t="e">
        <f t="shared" si="4"/>
        <v>#N/A</v>
      </c>
      <c r="H126" t="b">
        <f t="shared" si="5"/>
        <v>0</v>
      </c>
    </row>
    <row r="127" spans="2:8" x14ac:dyDescent="0.15">
      <c r="B127" s="24" t="s">
        <v>137</v>
      </c>
      <c r="C127" s="61" t="s">
        <v>141</v>
      </c>
      <c r="E127">
        <v>125</v>
      </c>
      <c r="F127" t="e">
        <f t="shared" si="3"/>
        <v>#N/A</v>
      </c>
      <c r="G127">
        <f t="shared" si="4"/>
        <v>125</v>
      </c>
      <c r="H127">
        <f t="shared" si="5"/>
        <v>125</v>
      </c>
    </row>
    <row r="128" spans="2:8" x14ac:dyDescent="0.15">
      <c r="B128" s="1">
        <v>74</v>
      </c>
      <c r="C128" s="62">
        <v>93</v>
      </c>
      <c r="E128">
        <v>126</v>
      </c>
      <c r="F128" t="e">
        <f t="shared" si="3"/>
        <v>#N/A</v>
      </c>
      <c r="G128" t="e">
        <f t="shared" si="4"/>
        <v>#N/A</v>
      </c>
      <c r="H128" t="b">
        <f t="shared" si="5"/>
        <v>0</v>
      </c>
    </row>
    <row r="129" spans="2:8" ht="14" thickBot="1" x14ac:dyDescent="0.2">
      <c r="B129" s="6"/>
      <c r="C129" s="57">
        <v>93</v>
      </c>
      <c r="E129">
        <v>127</v>
      </c>
      <c r="F129" t="e">
        <f t="shared" si="3"/>
        <v>#N/A</v>
      </c>
      <c r="G129">
        <f t="shared" si="4"/>
        <v>127</v>
      </c>
      <c r="H129">
        <f t="shared" si="5"/>
        <v>127</v>
      </c>
    </row>
    <row r="130" spans="2:8" x14ac:dyDescent="0.15">
      <c r="B130" s="7" t="s">
        <v>138</v>
      </c>
      <c r="C130" s="62" t="s">
        <v>142</v>
      </c>
      <c r="E130">
        <v>128</v>
      </c>
      <c r="F130" t="e">
        <f t="shared" si="3"/>
        <v>#N/A</v>
      </c>
      <c r="G130">
        <f t="shared" si="4"/>
        <v>128</v>
      </c>
      <c r="H130">
        <f t="shared" si="5"/>
        <v>128</v>
      </c>
    </row>
    <row r="131" spans="2:8" x14ac:dyDescent="0.15">
      <c r="B131" s="1">
        <v>80</v>
      </c>
      <c r="C131" s="62">
        <v>127</v>
      </c>
      <c r="E131">
        <v>129</v>
      </c>
      <c r="F131" t="e">
        <f t="shared" si="3"/>
        <v>#N/A</v>
      </c>
      <c r="G131" t="e">
        <f t="shared" si="4"/>
        <v>#N/A</v>
      </c>
      <c r="H131" t="b">
        <f t="shared" si="5"/>
        <v>0</v>
      </c>
    </row>
    <row r="132" spans="2:8" ht="14" thickBot="1" x14ac:dyDescent="0.2">
      <c r="B132" s="6">
        <v>80</v>
      </c>
      <c r="C132" s="57">
        <v>128</v>
      </c>
      <c r="E132">
        <v>130</v>
      </c>
      <c r="F132" t="e">
        <f t="shared" ref="F132:F152" si="6">VLOOKUP($E132,$B$1:$B$161,1,FALSE)</f>
        <v>#N/A</v>
      </c>
      <c r="G132" t="e">
        <f t="shared" ref="G132:G152" si="7">VLOOKUP($E132,$C$1:$C$161,1,FALSE)</f>
        <v>#N/A</v>
      </c>
      <c r="H132" t="b">
        <f t="shared" ref="H132:H152" si="8">IF(ISNA(F132),IF(ISNA(G132),FALSE,E132),E132)</f>
        <v>0</v>
      </c>
    </row>
    <row r="133" spans="2:8" x14ac:dyDescent="0.15">
      <c r="B133" s="24">
        <v>21</v>
      </c>
      <c r="C133" s="61" t="s">
        <v>143</v>
      </c>
      <c r="E133">
        <v>131</v>
      </c>
      <c r="F133" t="e">
        <f t="shared" si="6"/>
        <v>#N/A</v>
      </c>
      <c r="G133" t="e">
        <f t="shared" si="7"/>
        <v>#N/A</v>
      </c>
      <c r="H133" t="b">
        <f t="shared" si="8"/>
        <v>0</v>
      </c>
    </row>
    <row r="134" spans="2:8" x14ac:dyDescent="0.15">
      <c r="B134" s="1">
        <v>21</v>
      </c>
      <c r="C134" s="62">
        <v>132</v>
      </c>
      <c r="E134">
        <v>132</v>
      </c>
      <c r="F134" t="e">
        <f t="shared" si="6"/>
        <v>#N/A</v>
      </c>
      <c r="G134">
        <f t="shared" si="7"/>
        <v>132</v>
      </c>
      <c r="H134">
        <f t="shared" si="8"/>
        <v>132</v>
      </c>
    </row>
    <row r="135" spans="2:8" ht="14" thickBot="1" x14ac:dyDescent="0.2">
      <c r="B135" s="6">
        <v>21</v>
      </c>
      <c r="C135" s="57"/>
      <c r="E135">
        <v>133</v>
      </c>
      <c r="F135">
        <f t="shared" si="6"/>
        <v>133</v>
      </c>
      <c r="G135" t="e">
        <f t="shared" si="7"/>
        <v>#N/A</v>
      </c>
      <c r="H135">
        <f t="shared" si="8"/>
        <v>133</v>
      </c>
    </row>
    <row r="136" spans="2:8" x14ac:dyDescent="0.15">
      <c r="B136" s="7" t="s">
        <v>139</v>
      </c>
      <c r="C136" s="62" t="s">
        <v>144</v>
      </c>
      <c r="E136">
        <v>134</v>
      </c>
      <c r="F136" t="e">
        <f t="shared" si="6"/>
        <v>#N/A</v>
      </c>
      <c r="G136">
        <f t="shared" si="7"/>
        <v>134</v>
      </c>
      <c r="H136">
        <f t="shared" si="8"/>
        <v>134</v>
      </c>
    </row>
    <row r="137" spans="2:8" x14ac:dyDescent="0.15">
      <c r="B137" s="1">
        <v>33</v>
      </c>
      <c r="C137" s="62"/>
      <c r="E137">
        <v>135</v>
      </c>
      <c r="F137">
        <f t="shared" si="6"/>
        <v>135</v>
      </c>
      <c r="G137">
        <f t="shared" si="7"/>
        <v>135</v>
      </c>
      <c r="H137">
        <f t="shared" si="8"/>
        <v>135</v>
      </c>
    </row>
    <row r="138" spans="2:8" ht="14" thickBot="1" x14ac:dyDescent="0.2">
      <c r="B138" s="6">
        <v>33</v>
      </c>
      <c r="C138" s="57"/>
      <c r="E138">
        <v>136</v>
      </c>
      <c r="F138" t="e">
        <f t="shared" si="6"/>
        <v>#N/A</v>
      </c>
      <c r="G138" t="e">
        <f t="shared" si="7"/>
        <v>#N/A</v>
      </c>
      <c r="H138" t="b">
        <f t="shared" si="8"/>
        <v>0</v>
      </c>
    </row>
    <row r="139" spans="2:8" x14ac:dyDescent="0.15">
      <c r="B139" s="26" t="s">
        <v>41</v>
      </c>
      <c r="E139">
        <v>137</v>
      </c>
      <c r="F139" t="e">
        <f t="shared" si="6"/>
        <v>#N/A</v>
      </c>
      <c r="G139">
        <f t="shared" si="7"/>
        <v>137</v>
      </c>
      <c r="H139">
        <f t="shared" si="8"/>
        <v>137</v>
      </c>
    </row>
    <row r="140" spans="2:8" ht="14" thickBot="1" x14ac:dyDescent="0.2">
      <c r="B140" s="194"/>
      <c r="E140">
        <v>138</v>
      </c>
      <c r="F140" t="e">
        <f t="shared" si="6"/>
        <v>#N/A</v>
      </c>
      <c r="G140">
        <f t="shared" si="7"/>
        <v>138</v>
      </c>
      <c r="H140">
        <f t="shared" si="8"/>
        <v>138</v>
      </c>
    </row>
    <row r="141" spans="2:8" x14ac:dyDescent="0.15">
      <c r="B141" s="65">
        <v>90</v>
      </c>
      <c r="E141">
        <v>139</v>
      </c>
      <c r="F141" t="e">
        <f t="shared" si="6"/>
        <v>#N/A</v>
      </c>
      <c r="G141" t="e">
        <f t="shared" si="7"/>
        <v>#N/A</v>
      </c>
      <c r="H141" t="b">
        <f t="shared" si="8"/>
        <v>0</v>
      </c>
    </row>
    <row r="142" spans="2:8" x14ac:dyDescent="0.15">
      <c r="B142" s="64"/>
      <c r="E142">
        <v>140</v>
      </c>
      <c r="F142" t="e">
        <f t="shared" si="6"/>
        <v>#N/A</v>
      </c>
      <c r="G142" t="e">
        <f t="shared" si="7"/>
        <v>#N/A</v>
      </c>
      <c r="H142" t="b">
        <f t="shared" si="8"/>
        <v>0</v>
      </c>
    </row>
    <row r="143" spans="2:8" ht="14" thickBot="1" x14ac:dyDescent="0.2">
      <c r="B143" s="195"/>
      <c r="E143">
        <v>141</v>
      </c>
      <c r="F143" t="e">
        <f t="shared" si="6"/>
        <v>#N/A</v>
      </c>
      <c r="G143" t="e">
        <f t="shared" si="7"/>
        <v>#N/A</v>
      </c>
      <c r="H143" t="b">
        <f t="shared" si="8"/>
        <v>0</v>
      </c>
    </row>
    <row r="144" spans="2:8" x14ac:dyDescent="0.15">
      <c r="B144" s="65">
        <v>4</v>
      </c>
      <c r="E144">
        <v>142</v>
      </c>
      <c r="F144" t="e">
        <f t="shared" si="6"/>
        <v>#N/A</v>
      </c>
      <c r="G144" t="e">
        <f t="shared" si="7"/>
        <v>#N/A</v>
      </c>
      <c r="H144" t="b">
        <f t="shared" si="8"/>
        <v>0</v>
      </c>
    </row>
    <row r="145" spans="2:8" x14ac:dyDescent="0.15">
      <c r="B145" s="64">
        <v>133</v>
      </c>
      <c r="E145">
        <v>143</v>
      </c>
      <c r="F145" t="e">
        <f t="shared" si="6"/>
        <v>#N/A</v>
      </c>
      <c r="G145" t="e">
        <f t="shared" si="7"/>
        <v>#N/A</v>
      </c>
      <c r="H145" t="b">
        <f t="shared" si="8"/>
        <v>0</v>
      </c>
    </row>
    <row r="146" spans="2:8" ht="14" thickBot="1" x14ac:dyDescent="0.2">
      <c r="B146" s="195"/>
      <c r="E146">
        <v>144</v>
      </c>
      <c r="F146" t="e">
        <f t="shared" si="6"/>
        <v>#N/A</v>
      </c>
      <c r="G146" t="e">
        <f t="shared" si="7"/>
        <v>#N/A</v>
      </c>
      <c r="H146" t="b">
        <f t="shared" si="8"/>
        <v>0</v>
      </c>
    </row>
    <row r="147" spans="2:8" x14ac:dyDescent="0.15">
      <c r="B147" s="64">
        <v>90</v>
      </c>
      <c r="E147">
        <v>145</v>
      </c>
      <c r="F147" t="e">
        <f t="shared" si="6"/>
        <v>#N/A</v>
      </c>
      <c r="G147">
        <f t="shared" si="7"/>
        <v>145</v>
      </c>
      <c r="H147">
        <f t="shared" si="8"/>
        <v>145</v>
      </c>
    </row>
    <row r="148" spans="2:8" x14ac:dyDescent="0.15">
      <c r="B148" s="64"/>
      <c r="E148">
        <v>146</v>
      </c>
      <c r="F148" t="e">
        <f t="shared" si="6"/>
        <v>#N/A</v>
      </c>
      <c r="G148">
        <f t="shared" si="7"/>
        <v>146</v>
      </c>
      <c r="H148">
        <f t="shared" si="8"/>
        <v>146</v>
      </c>
    </row>
    <row r="149" spans="2:8" ht="14" thickBot="1" x14ac:dyDescent="0.2">
      <c r="B149" s="64"/>
      <c r="E149">
        <v>147</v>
      </c>
      <c r="F149" t="e">
        <f t="shared" si="6"/>
        <v>#N/A</v>
      </c>
      <c r="G149">
        <f t="shared" si="7"/>
        <v>147</v>
      </c>
      <c r="H149">
        <f t="shared" si="8"/>
        <v>147</v>
      </c>
    </row>
    <row r="150" spans="2:8" x14ac:dyDescent="0.15">
      <c r="B150" s="65">
        <v>4</v>
      </c>
      <c r="E150">
        <v>148</v>
      </c>
      <c r="F150" t="e">
        <f t="shared" si="6"/>
        <v>#N/A</v>
      </c>
      <c r="G150" t="e">
        <f t="shared" si="7"/>
        <v>#N/A</v>
      </c>
      <c r="H150" t="b">
        <f t="shared" si="8"/>
        <v>0</v>
      </c>
    </row>
    <row r="151" spans="2:8" x14ac:dyDescent="0.15">
      <c r="B151" s="64">
        <v>133</v>
      </c>
      <c r="E151">
        <v>149</v>
      </c>
      <c r="F151" t="e">
        <f t="shared" si="6"/>
        <v>#N/A</v>
      </c>
      <c r="G151">
        <f t="shared" si="7"/>
        <v>149</v>
      </c>
      <c r="H151">
        <f t="shared" si="8"/>
        <v>149</v>
      </c>
    </row>
    <row r="152" spans="2:8" ht="14" thickBot="1" x14ac:dyDescent="0.2">
      <c r="B152" s="195"/>
      <c r="E152">
        <v>150</v>
      </c>
      <c r="F152">
        <f t="shared" si="6"/>
        <v>150</v>
      </c>
      <c r="G152">
        <f t="shared" si="7"/>
        <v>150</v>
      </c>
      <c r="H152">
        <f t="shared" si="8"/>
        <v>150</v>
      </c>
    </row>
    <row r="153" spans="2:8" x14ac:dyDescent="0.15">
      <c r="B153" s="64">
        <v>90</v>
      </c>
    </row>
    <row r="154" spans="2:8" x14ac:dyDescent="0.15">
      <c r="B154" s="64"/>
    </row>
    <row r="155" spans="2:8" ht="14" thickBot="1" x14ac:dyDescent="0.2">
      <c r="B155" s="64"/>
    </row>
    <row r="156" spans="2:8" x14ac:dyDescent="0.15">
      <c r="B156" s="65">
        <v>4</v>
      </c>
    </row>
    <row r="157" spans="2:8" x14ac:dyDescent="0.15">
      <c r="B157" s="64">
        <v>133</v>
      </c>
    </row>
    <row r="158" spans="2:8" ht="14" thickBot="1" x14ac:dyDescent="0.2">
      <c r="B158" s="195"/>
    </row>
    <row r="159" spans="2:8" x14ac:dyDescent="0.15">
      <c r="B159" s="64" t="s">
        <v>404</v>
      </c>
    </row>
    <row r="160" spans="2:8" x14ac:dyDescent="0.15">
      <c r="B160" s="64">
        <v>133</v>
      </c>
    </row>
    <row r="161" spans="2:2" ht="14" thickBot="1" x14ac:dyDescent="0.2">
      <c r="B161" s="195"/>
    </row>
  </sheetData>
  <mergeCells count="7">
    <mergeCell ref="A21:A23"/>
    <mergeCell ref="A3:A5"/>
    <mergeCell ref="A6:A8"/>
    <mergeCell ref="A9:A11"/>
    <mergeCell ref="A12:A14"/>
    <mergeCell ref="A15:A17"/>
    <mergeCell ref="A18:A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5C4D-89CC-4542-9ACA-2C70EEF77D71}">
  <dimension ref="A1:S150"/>
  <sheetViews>
    <sheetView workbookViewId="0">
      <selection activeCell="F12" sqref="F12"/>
    </sheetView>
  </sheetViews>
  <sheetFormatPr baseColWidth="10" defaultRowHeight="13" x14ac:dyDescent="0.15"/>
  <sheetData>
    <row r="1" spans="1:19" x14ac:dyDescent="0.15">
      <c r="A1" s="4"/>
      <c r="B1" s="196" t="s">
        <v>38</v>
      </c>
      <c r="C1" s="198"/>
      <c r="D1" s="11" t="s">
        <v>39</v>
      </c>
      <c r="E1" s="58" t="s">
        <v>39</v>
      </c>
      <c r="F1" s="11" t="s">
        <v>60</v>
      </c>
      <c r="G1" s="14" t="s">
        <v>60</v>
      </c>
      <c r="H1" s="14" t="s">
        <v>60</v>
      </c>
      <c r="I1" s="186" t="s">
        <v>60</v>
      </c>
      <c r="J1" s="43" t="s">
        <v>40</v>
      </c>
      <c r="K1" s="43" t="s">
        <v>40</v>
      </c>
      <c r="L1" s="43" t="s">
        <v>40</v>
      </c>
      <c r="M1" s="65" t="s">
        <v>40</v>
      </c>
      <c r="N1" s="26" t="s">
        <v>41</v>
      </c>
      <c r="P1">
        <v>1</v>
      </c>
      <c r="Q1">
        <v>1</v>
      </c>
      <c r="R1">
        <v>1</v>
      </c>
      <c r="S1">
        <v>1</v>
      </c>
    </row>
    <row r="2" spans="1:19" ht="14" thickBot="1" x14ac:dyDescent="0.2">
      <c r="A2" s="5"/>
      <c r="B2" s="8" t="s">
        <v>240</v>
      </c>
      <c r="C2" s="20" t="s">
        <v>42</v>
      </c>
      <c r="D2" s="67" t="s">
        <v>240</v>
      </c>
      <c r="E2" s="3" t="s">
        <v>42</v>
      </c>
      <c r="F2" s="67" t="s">
        <v>240</v>
      </c>
      <c r="G2" s="20" t="s">
        <v>42</v>
      </c>
      <c r="H2" s="20" t="s">
        <v>274</v>
      </c>
      <c r="I2" s="20" t="s">
        <v>275</v>
      </c>
      <c r="J2" s="67" t="s">
        <v>61</v>
      </c>
      <c r="K2" s="20" t="s">
        <v>62</v>
      </c>
      <c r="L2" s="20" t="s">
        <v>63</v>
      </c>
      <c r="M2" s="3" t="s">
        <v>64</v>
      </c>
      <c r="N2" s="194"/>
      <c r="P2">
        <v>2</v>
      </c>
      <c r="Q2">
        <v>2</v>
      </c>
      <c r="R2">
        <v>2</v>
      </c>
      <c r="S2">
        <v>2</v>
      </c>
    </row>
    <row r="3" spans="1:19" x14ac:dyDescent="0.15">
      <c r="A3" s="248" t="s">
        <v>118</v>
      </c>
      <c r="B3" s="11">
        <v>117</v>
      </c>
      <c r="C3" s="18">
        <v>117</v>
      </c>
      <c r="D3" s="11">
        <v>109</v>
      </c>
      <c r="E3" s="58">
        <v>109</v>
      </c>
      <c r="F3" s="11">
        <v>1</v>
      </c>
      <c r="G3" s="11">
        <v>1</v>
      </c>
      <c r="H3" s="11">
        <v>1</v>
      </c>
      <c r="I3" s="43">
        <v>1</v>
      </c>
      <c r="J3" s="11">
        <v>22</v>
      </c>
      <c r="K3" s="12">
        <v>22</v>
      </c>
      <c r="L3" s="12">
        <v>22</v>
      </c>
      <c r="M3" s="13">
        <v>22</v>
      </c>
      <c r="N3" s="65">
        <v>90</v>
      </c>
      <c r="P3">
        <v>3</v>
      </c>
      <c r="Q3">
        <v>3</v>
      </c>
      <c r="R3">
        <v>3</v>
      </c>
      <c r="S3">
        <v>3</v>
      </c>
    </row>
    <row r="4" spans="1:19" x14ac:dyDescent="0.15">
      <c r="A4" s="249"/>
      <c r="B4" s="9" t="s">
        <v>110</v>
      </c>
      <c r="C4" s="197" t="s">
        <v>110</v>
      </c>
      <c r="D4" s="9" t="s">
        <v>78</v>
      </c>
      <c r="E4" s="62" t="s">
        <v>78</v>
      </c>
      <c r="F4" s="9">
        <v>2</v>
      </c>
      <c r="G4" s="9">
        <v>2</v>
      </c>
      <c r="H4" s="9">
        <v>2</v>
      </c>
      <c r="I4" s="197">
        <v>2</v>
      </c>
      <c r="J4" s="9">
        <v>75</v>
      </c>
      <c r="K4" s="1">
        <v>75</v>
      </c>
      <c r="L4" s="1">
        <v>75</v>
      </c>
      <c r="M4" s="10">
        <v>75</v>
      </c>
      <c r="N4" s="64"/>
      <c r="P4">
        <v>4</v>
      </c>
      <c r="Q4">
        <v>4</v>
      </c>
      <c r="R4" t="e">
        <v>#N/A</v>
      </c>
      <c r="S4">
        <v>4</v>
      </c>
    </row>
    <row r="5" spans="1:19" ht="14" thickBot="1" x14ac:dyDescent="0.2">
      <c r="A5" s="250"/>
      <c r="B5" s="8">
        <v>150</v>
      </c>
      <c r="C5" s="20">
        <v>150</v>
      </c>
      <c r="D5" s="8" t="s">
        <v>259</v>
      </c>
      <c r="E5" s="57" t="s">
        <v>259</v>
      </c>
      <c r="F5" s="8">
        <v>3</v>
      </c>
      <c r="G5" s="8">
        <v>3</v>
      </c>
      <c r="H5" s="8">
        <v>3</v>
      </c>
      <c r="I5" s="67">
        <v>3</v>
      </c>
      <c r="J5" s="8">
        <v>75</v>
      </c>
      <c r="K5" s="6">
        <v>75</v>
      </c>
      <c r="L5" s="6">
        <v>75</v>
      </c>
      <c r="M5" s="57">
        <v>75</v>
      </c>
      <c r="N5" s="195"/>
      <c r="O5" t="s">
        <v>418</v>
      </c>
      <c r="P5">
        <v>5</v>
      </c>
      <c r="Q5" t="e">
        <v>#N/A</v>
      </c>
      <c r="R5" t="e">
        <v>#N/A</v>
      </c>
      <c r="S5" t="b">
        <v>0</v>
      </c>
    </row>
    <row r="6" spans="1:19" x14ac:dyDescent="0.15">
      <c r="A6" s="235" t="s">
        <v>119</v>
      </c>
      <c r="B6" s="11">
        <v>8</v>
      </c>
      <c r="C6" s="18">
        <v>46</v>
      </c>
      <c r="D6" s="9">
        <v>15</v>
      </c>
      <c r="E6" s="13">
        <v>102</v>
      </c>
      <c r="F6" s="11">
        <v>5</v>
      </c>
      <c r="G6" s="12">
        <v>34</v>
      </c>
      <c r="H6" s="47">
        <v>68</v>
      </c>
      <c r="I6" s="18"/>
      <c r="J6" s="11" t="s">
        <v>210</v>
      </c>
      <c r="K6" s="14" t="s">
        <v>130</v>
      </c>
      <c r="L6" s="14" t="s">
        <v>135</v>
      </c>
      <c r="M6" s="58" t="s">
        <v>145</v>
      </c>
      <c r="N6" s="65">
        <v>4</v>
      </c>
      <c r="P6">
        <v>6</v>
      </c>
      <c r="Q6">
        <v>6</v>
      </c>
      <c r="R6" t="e">
        <v>#N/A</v>
      </c>
      <c r="S6">
        <v>6</v>
      </c>
    </row>
    <row r="7" spans="1:19" x14ac:dyDescent="0.15">
      <c r="A7" s="236"/>
      <c r="B7" s="9" t="s">
        <v>412</v>
      </c>
      <c r="C7" s="197" t="s">
        <v>412</v>
      </c>
      <c r="D7" s="9">
        <v>22</v>
      </c>
      <c r="E7" s="10">
        <v>102</v>
      </c>
      <c r="F7" s="9">
        <v>6</v>
      </c>
      <c r="G7" s="1">
        <v>34</v>
      </c>
      <c r="H7" s="50">
        <v>68</v>
      </c>
      <c r="I7" s="19"/>
      <c r="J7" s="9">
        <v>7</v>
      </c>
      <c r="K7" s="1">
        <v>39</v>
      </c>
      <c r="L7" s="1">
        <v>70</v>
      </c>
      <c r="M7" s="62">
        <v>81</v>
      </c>
      <c r="N7" s="64">
        <v>133</v>
      </c>
      <c r="P7">
        <v>7</v>
      </c>
      <c r="Q7">
        <v>7</v>
      </c>
      <c r="R7" t="e">
        <v>#N/A</v>
      </c>
      <c r="S7">
        <v>7</v>
      </c>
    </row>
    <row r="8" spans="1:19" ht="14" thickBot="1" x14ac:dyDescent="0.2">
      <c r="A8" s="237"/>
      <c r="B8" s="8">
        <v>91</v>
      </c>
      <c r="C8" s="20" t="s">
        <v>3</v>
      </c>
      <c r="D8" s="9" t="s">
        <v>260</v>
      </c>
      <c r="E8" s="3" t="s">
        <v>260</v>
      </c>
      <c r="F8" s="8"/>
      <c r="G8" s="2">
        <v>34</v>
      </c>
      <c r="H8" s="46">
        <v>68</v>
      </c>
      <c r="I8" s="20"/>
      <c r="J8" s="8">
        <v>7</v>
      </c>
      <c r="K8" s="6">
        <v>39</v>
      </c>
      <c r="L8" s="6">
        <v>70</v>
      </c>
      <c r="M8" s="57">
        <v>119</v>
      </c>
      <c r="N8" s="195"/>
      <c r="P8">
        <v>8</v>
      </c>
      <c r="Q8">
        <v>8</v>
      </c>
      <c r="R8" t="e">
        <v>#N/A</v>
      </c>
      <c r="S8">
        <v>8</v>
      </c>
    </row>
    <row r="9" spans="1:19" x14ac:dyDescent="0.15">
      <c r="A9" s="235" t="s">
        <v>120</v>
      </c>
      <c r="B9" s="9" t="s">
        <v>106</v>
      </c>
      <c r="C9" s="19">
        <v>47</v>
      </c>
      <c r="D9" s="11">
        <v>29</v>
      </c>
      <c r="E9" s="10">
        <v>114</v>
      </c>
      <c r="F9" s="9" t="s">
        <v>113</v>
      </c>
      <c r="G9" s="1">
        <v>36</v>
      </c>
      <c r="H9" s="50">
        <v>72</v>
      </c>
      <c r="I9" s="19">
        <v>103</v>
      </c>
      <c r="J9" s="11" t="s">
        <v>225</v>
      </c>
      <c r="K9" s="14" t="s">
        <v>131</v>
      </c>
      <c r="L9" s="14" t="s">
        <v>136</v>
      </c>
      <c r="M9" s="58" t="s">
        <v>140</v>
      </c>
      <c r="N9" s="64">
        <v>90</v>
      </c>
      <c r="P9">
        <v>9</v>
      </c>
      <c r="Q9" t="e">
        <v>#N/A</v>
      </c>
      <c r="R9" t="e">
        <v>#N/A</v>
      </c>
      <c r="S9">
        <v>9</v>
      </c>
    </row>
    <row r="10" spans="1:19" x14ac:dyDescent="0.15">
      <c r="A10" s="236"/>
      <c r="B10" s="9" t="s">
        <v>413</v>
      </c>
      <c r="C10" s="197" t="s">
        <v>413</v>
      </c>
      <c r="D10" s="9">
        <v>42</v>
      </c>
      <c r="E10" s="10">
        <v>115</v>
      </c>
      <c r="F10" s="9" t="s">
        <v>197</v>
      </c>
      <c r="G10" s="1">
        <v>36</v>
      </c>
      <c r="H10" s="50">
        <v>72</v>
      </c>
      <c r="I10" s="19">
        <v>103</v>
      </c>
      <c r="J10" s="9">
        <v>11</v>
      </c>
      <c r="K10" s="1">
        <v>48</v>
      </c>
      <c r="L10" s="1">
        <v>73</v>
      </c>
      <c r="M10" s="62">
        <v>87</v>
      </c>
      <c r="N10" s="64"/>
      <c r="P10">
        <v>10</v>
      </c>
      <c r="Q10">
        <v>10</v>
      </c>
      <c r="R10" t="e">
        <v>#N/A</v>
      </c>
      <c r="S10">
        <v>10</v>
      </c>
    </row>
    <row r="11" spans="1:19" ht="14" thickBot="1" x14ac:dyDescent="0.2">
      <c r="A11" s="237"/>
      <c r="B11" s="9">
        <v>95</v>
      </c>
      <c r="C11" s="19">
        <v>134</v>
      </c>
      <c r="D11" s="8" t="s">
        <v>261</v>
      </c>
      <c r="E11" s="10" t="s">
        <v>261</v>
      </c>
      <c r="F11" s="9">
        <v>10</v>
      </c>
      <c r="G11" s="1">
        <v>36</v>
      </c>
      <c r="H11" s="48">
        <v>72</v>
      </c>
      <c r="I11" s="19">
        <v>103</v>
      </c>
      <c r="J11" s="8">
        <v>12</v>
      </c>
      <c r="K11" s="6">
        <v>48</v>
      </c>
      <c r="L11" s="6">
        <v>73</v>
      </c>
      <c r="M11" s="57">
        <v>87</v>
      </c>
      <c r="N11" s="64"/>
      <c r="P11">
        <v>11</v>
      </c>
      <c r="Q11">
        <v>11</v>
      </c>
      <c r="R11" t="e">
        <v>#N/A</v>
      </c>
      <c r="S11">
        <v>11</v>
      </c>
    </row>
    <row r="12" spans="1:19" x14ac:dyDescent="0.15">
      <c r="A12" s="235" t="s">
        <v>121</v>
      </c>
      <c r="B12" s="11">
        <v>23</v>
      </c>
      <c r="C12" s="18">
        <v>62</v>
      </c>
      <c r="D12" s="9">
        <v>44</v>
      </c>
      <c r="E12" s="13">
        <v>120</v>
      </c>
      <c r="F12" s="11"/>
      <c r="G12" s="12">
        <v>37</v>
      </c>
      <c r="H12" s="49">
        <v>77</v>
      </c>
      <c r="I12" s="18">
        <v>104</v>
      </c>
      <c r="J12" s="42" t="s">
        <v>125</v>
      </c>
      <c r="K12" s="52" t="s">
        <v>129</v>
      </c>
      <c r="L12" s="24" t="s">
        <v>137</v>
      </c>
      <c r="M12" s="61" t="s">
        <v>141</v>
      </c>
      <c r="N12" s="65">
        <v>4</v>
      </c>
      <c r="P12">
        <v>12</v>
      </c>
      <c r="Q12">
        <v>12</v>
      </c>
      <c r="R12" t="e">
        <v>#N/A</v>
      </c>
      <c r="S12">
        <v>12</v>
      </c>
    </row>
    <row r="13" spans="1:19" x14ac:dyDescent="0.15">
      <c r="A13" s="236"/>
      <c r="B13" s="9" t="s">
        <v>417</v>
      </c>
      <c r="C13" s="197" t="s">
        <v>417</v>
      </c>
      <c r="D13" s="9">
        <v>44</v>
      </c>
      <c r="E13" s="10">
        <v>121</v>
      </c>
      <c r="F13" s="9"/>
      <c r="G13" s="1">
        <v>37</v>
      </c>
      <c r="H13" s="50">
        <v>77</v>
      </c>
      <c r="I13" s="19">
        <v>104</v>
      </c>
      <c r="J13" s="9">
        <v>13</v>
      </c>
      <c r="K13" s="1">
        <v>52</v>
      </c>
      <c r="L13" s="1">
        <v>74</v>
      </c>
      <c r="M13" s="62">
        <v>93</v>
      </c>
      <c r="N13" s="64">
        <v>133</v>
      </c>
      <c r="P13">
        <v>13</v>
      </c>
      <c r="Q13">
        <v>13</v>
      </c>
      <c r="R13" t="e">
        <v>#N/A</v>
      </c>
      <c r="S13">
        <v>13</v>
      </c>
    </row>
    <row r="14" spans="1:19" ht="14" thickBot="1" x14ac:dyDescent="0.2">
      <c r="A14" s="237"/>
      <c r="B14" s="8">
        <v>96</v>
      </c>
      <c r="C14" s="20">
        <v>145</v>
      </c>
      <c r="D14" s="9" t="s">
        <v>262</v>
      </c>
      <c r="E14" s="3" t="s">
        <v>262</v>
      </c>
      <c r="F14" s="8"/>
      <c r="G14" s="2">
        <v>38</v>
      </c>
      <c r="H14" s="46">
        <v>77</v>
      </c>
      <c r="I14" s="20">
        <v>104</v>
      </c>
      <c r="J14" s="8">
        <v>14</v>
      </c>
      <c r="K14" s="6">
        <v>53</v>
      </c>
      <c r="L14" s="6"/>
      <c r="M14" s="57">
        <v>93</v>
      </c>
      <c r="N14" s="195"/>
      <c r="P14">
        <v>14</v>
      </c>
      <c r="Q14">
        <v>14</v>
      </c>
      <c r="R14" t="e">
        <v>#N/A</v>
      </c>
      <c r="S14">
        <v>14</v>
      </c>
    </row>
    <row r="15" spans="1:19" x14ac:dyDescent="0.15">
      <c r="A15" s="235" t="s">
        <v>122</v>
      </c>
      <c r="B15" s="9">
        <v>27</v>
      </c>
      <c r="C15" s="19">
        <v>64</v>
      </c>
      <c r="D15" s="11">
        <v>65</v>
      </c>
      <c r="E15" s="10">
        <v>125</v>
      </c>
      <c r="F15" s="9">
        <v>67</v>
      </c>
      <c r="G15" s="1">
        <v>43</v>
      </c>
      <c r="H15" s="50">
        <v>77</v>
      </c>
      <c r="I15" s="19">
        <v>105</v>
      </c>
      <c r="J15" s="9" t="s">
        <v>126</v>
      </c>
      <c r="K15" s="7" t="s">
        <v>132</v>
      </c>
      <c r="L15" s="7" t="s">
        <v>138</v>
      </c>
      <c r="M15" s="62" t="s">
        <v>142</v>
      </c>
      <c r="N15" s="64">
        <v>90</v>
      </c>
      <c r="P15">
        <v>15</v>
      </c>
      <c r="Q15">
        <v>15</v>
      </c>
      <c r="R15" t="e">
        <v>#N/A</v>
      </c>
      <c r="S15">
        <v>15</v>
      </c>
    </row>
    <row r="16" spans="1:19" x14ac:dyDescent="0.15">
      <c r="A16" s="236"/>
      <c r="B16" s="9" t="s">
        <v>414</v>
      </c>
      <c r="C16" s="197" t="s">
        <v>414</v>
      </c>
      <c r="D16" s="9">
        <v>65</v>
      </c>
      <c r="E16" s="10">
        <v>137</v>
      </c>
      <c r="F16" s="9">
        <v>67</v>
      </c>
      <c r="G16" s="1">
        <v>43</v>
      </c>
      <c r="H16" s="50">
        <v>77</v>
      </c>
      <c r="I16" s="19">
        <v>105</v>
      </c>
      <c r="J16" s="9">
        <v>41</v>
      </c>
      <c r="K16" s="1">
        <v>54</v>
      </c>
      <c r="L16" s="1">
        <v>80</v>
      </c>
      <c r="M16" s="62">
        <v>127</v>
      </c>
      <c r="N16" s="64"/>
      <c r="P16">
        <v>16</v>
      </c>
      <c r="Q16" t="e">
        <v>#N/A</v>
      </c>
      <c r="R16" t="e">
        <v>#N/A</v>
      </c>
      <c r="S16" t="b">
        <v>0</v>
      </c>
    </row>
    <row r="17" spans="1:19" ht="14" thickBot="1" x14ac:dyDescent="0.2">
      <c r="A17" s="237"/>
      <c r="B17" s="9">
        <v>97</v>
      </c>
      <c r="C17" s="19">
        <v>146</v>
      </c>
      <c r="D17" s="9" t="s">
        <v>186</v>
      </c>
      <c r="E17" s="10" t="s">
        <v>186</v>
      </c>
      <c r="F17" s="9">
        <v>67</v>
      </c>
      <c r="G17" s="1">
        <v>43</v>
      </c>
      <c r="H17" s="7">
        <v>77</v>
      </c>
      <c r="I17" s="19">
        <v>105</v>
      </c>
      <c r="J17" s="8"/>
      <c r="K17" s="6">
        <v>54</v>
      </c>
      <c r="L17" s="6">
        <v>80</v>
      </c>
      <c r="M17" s="57">
        <v>128</v>
      </c>
      <c r="N17" s="64"/>
      <c r="P17">
        <v>17</v>
      </c>
      <c r="Q17" t="e">
        <v>#N/A</v>
      </c>
      <c r="R17" t="e">
        <v>#N/A</v>
      </c>
      <c r="S17" t="b">
        <v>0</v>
      </c>
    </row>
    <row r="18" spans="1:19" x14ac:dyDescent="0.15">
      <c r="A18" s="235" t="s">
        <v>123</v>
      </c>
      <c r="B18" s="11">
        <v>35</v>
      </c>
      <c r="C18" s="18">
        <v>83</v>
      </c>
      <c r="D18" s="11">
        <v>76</v>
      </c>
      <c r="E18" s="13">
        <v>138</v>
      </c>
      <c r="F18" s="11">
        <v>19</v>
      </c>
      <c r="G18" s="12"/>
      <c r="H18" s="49">
        <v>78</v>
      </c>
      <c r="I18" s="18">
        <v>106</v>
      </c>
      <c r="J18" s="42" t="s">
        <v>127</v>
      </c>
      <c r="K18" s="52" t="s">
        <v>133</v>
      </c>
      <c r="L18" s="24">
        <v>21</v>
      </c>
      <c r="M18" s="61" t="s">
        <v>143</v>
      </c>
      <c r="N18" s="65">
        <v>4</v>
      </c>
      <c r="P18">
        <v>18</v>
      </c>
      <c r="Q18" t="e">
        <v>#N/A</v>
      </c>
      <c r="R18" t="e">
        <v>#N/A</v>
      </c>
      <c r="S18" t="b">
        <v>0</v>
      </c>
    </row>
    <row r="19" spans="1:19" x14ac:dyDescent="0.15">
      <c r="A19" s="236"/>
      <c r="B19" s="9" t="s">
        <v>415</v>
      </c>
      <c r="C19" s="197" t="s">
        <v>415</v>
      </c>
      <c r="D19" s="9">
        <v>76</v>
      </c>
      <c r="E19" s="10">
        <v>138</v>
      </c>
      <c r="F19" s="9">
        <v>20</v>
      </c>
      <c r="G19" s="1">
        <v>51</v>
      </c>
      <c r="H19" s="50">
        <v>82</v>
      </c>
      <c r="I19" s="19">
        <v>106</v>
      </c>
      <c r="J19" s="9">
        <v>25</v>
      </c>
      <c r="K19" s="1">
        <v>55</v>
      </c>
      <c r="L19" s="1">
        <v>21</v>
      </c>
      <c r="M19" s="62">
        <v>132</v>
      </c>
      <c r="N19" s="64">
        <v>133</v>
      </c>
      <c r="P19">
        <v>19</v>
      </c>
      <c r="Q19">
        <v>19</v>
      </c>
      <c r="R19" t="e">
        <v>#N/A</v>
      </c>
      <c r="S19">
        <v>19</v>
      </c>
    </row>
    <row r="20" spans="1:19" ht="14" thickBot="1" x14ac:dyDescent="0.2">
      <c r="A20" s="237"/>
      <c r="B20" s="8">
        <v>98</v>
      </c>
      <c r="C20" s="20">
        <v>147</v>
      </c>
      <c r="D20" s="9" t="s">
        <v>77</v>
      </c>
      <c r="E20" s="3" t="s">
        <v>77</v>
      </c>
      <c r="F20" s="8"/>
      <c r="G20" s="2">
        <v>57</v>
      </c>
      <c r="H20" s="46">
        <v>100</v>
      </c>
      <c r="I20" s="20">
        <v>106</v>
      </c>
      <c r="J20" s="8"/>
      <c r="K20" s="6">
        <v>60</v>
      </c>
      <c r="L20" s="6">
        <v>21</v>
      </c>
      <c r="M20" s="57"/>
      <c r="N20" s="195"/>
      <c r="P20">
        <v>20</v>
      </c>
      <c r="Q20">
        <v>20</v>
      </c>
      <c r="R20" t="e">
        <v>#N/A</v>
      </c>
      <c r="S20">
        <v>20</v>
      </c>
    </row>
    <row r="21" spans="1:19" x14ac:dyDescent="0.15">
      <c r="A21" s="235" t="s">
        <v>124</v>
      </c>
      <c r="B21" s="9">
        <v>45</v>
      </c>
      <c r="C21" s="19">
        <v>86</v>
      </c>
      <c r="D21" s="11">
        <v>135</v>
      </c>
      <c r="E21" s="58">
        <v>135</v>
      </c>
      <c r="F21" s="9">
        <v>30</v>
      </c>
      <c r="G21" s="1">
        <v>58</v>
      </c>
      <c r="H21" s="50">
        <v>101</v>
      </c>
      <c r="I21" s="19">
        <v>108</v>
      </c>
      <c r="J21" s="9" t="s">
        <v>128</v>
      </c>
      <c r="K21" s="7" t="s">
        <v>134</v>
      </c>
      <c r="L21" s="7" t="s">
        <v>139</v>
      </c>
      <c r="M21" s="62" t="s">
        <v>144</v>
      </c>
      <c r="N21" s="64" t="s">
        <v>404</v>
      </c>
      <c r="P21">
        <v>21</v>
      </c>
      <c r="Q21">
        <v>21</v>
      </c>
      <c r="R21" t="e">
        <v>#N/A</v>
      </c>
      <c r="S21">
        <v>21</v>
      </c>
    </row>
    <row r="22" spans="1:19" x14ac:dyDescent="0.15">
      <c r="A22" s="236"/>
      <c r="B22" s="9" t="s">
        <v>416</v>
      </c>
      <c r="C22" s="197" t="s">
        <v>416</v>
      </c>
      <c r="D22" s="9">
        <v>135</v>
      </c>
      <c r="E22" s="62">
        <v>135</v>
      </c>
      <c r="F22" s="9">
        <v>30</v>
      </c>
      <c r="G22" s="1">
        <v>58</v>
      </c>
      <c r="H22" s="50">
        <v>101</v>
      </c>
      <c r="I22" s="19">
        <v>108</v>
      </c>
      <c r="J22" s="9">
        <v>33</v>
      </c>
      <c r="K22" s="1">
        <v>61</v>
      </c>
      <c r="L22" s="1">
        <v>33</v>
      </c>
      <c r="M22" s="62"/>
      <c r="N22" s="64">
        <v>133</v>
      </c>
      <c r="P22">
        <v>22</v>
      </c>
      <c r="Q22">
        <v>22</v>
      </c>
      <c r="R22">
        <v>22</v>
      </c>
      <c r="S22">
        <v>22</v>
      </c>
    </row>
    <row r="23" spans="1:19" ht="14" thickBot="1" x14ac:dyDescent="0.2">
      <c r="A23" s="237"/>
      <c r="B23" s="8">
        <v>99</v>
      </c>
      <c r="C23" s="20">
        <v>149</v>
      </c>
      <c r="D23" s="8" t="s">
        <v>12</v>
      </c>
      <c r="E23" s="3" t="s">
        <v>12</v>
      </c>
      <c r="F23" s="8">
        <v>30</v>
      </c>
      <c r="G23" s="2">
        <v>59</v>
      </c>
      <c r="H23" s="46">
        <v>101</v>
      </c>
      <c r="I23" s="20">
        <v>108</v>
      </c>
      <c r="J23" s="8">
        <v>33</v>
      </c>
      <c r="K23" s="6">
        <v>63</v>
      </c>
      <c r="L23" s="6">
        <v>33</v>
      </c>
      <c r="M23" s="57"/>
      <c r="N23" s="195"/>
      <c r="P23">
        <v>23</v>
      </c>
      <c r="Q23">
        <v>23</v>
      </c>
      <c r="R23" t="e">
        <v>#N/A</v>
      </c>
      <c r="S23">
        <v>23</v>
      </c>
    </row>
    <row r="24" spans="1:19" x14ac:dyDescent="0.15">
      <c r="P24">
        <v>24</v>
      </c>
      <c r="Q24" t="e">
        <v>#N/A</v>
      </c>
      <c r="R24" t="e">
        <v>#N/A</v>
      </c>
      <c r="S24" t="b">
        <v>0</v>
      </c>
    </row>
    <row r="25" spans="1:19" x14ac:dyDescent="0.15">
      <c r="P25">
        <v>25</v>
      </c>
      <c r="Q25">
        <v>25</v>
      </c>
      <c r="R25" t="e">
        <v>#N/A</v>
      </c>
      <c r="S25">
        <v>25</v>
      </c>
    </row>
    <row r="26" spans="1:19" x14ac:dyDescent="0.15">
      <c r="A26">
        <v>1</v>
      </c>
      <c r="D26">
        <v>51</v>
      </c>
      <c r="G26" s="160">
        <v>101</v>
      </c>
      <c r="P26">
        <v>26</v>
      </c>
      <c r="Q26" t="e">
        <v>#N/A</v>
      </c>
      <c r="R26" t="e">
        <v>#N/A</v>
      </c>
      <c r="S26" t="b">
        <v>0</v>
      </c>
    </row>
    <row r="27" spans="1:19" x14ac:dyDescent="0.15">
      <c r="A27">
        <v>2</v>
      </c>
      <c r="D27">
        <v>52</v>
      </c>
      <c r="G27" s="160">
        <v>102</v>
      </c>
      <c r="P27">
        <v>27</v>
      </c>
      <c r="Q27">
        <v>27</v>
      </c>
      <c r="R27" t="e">
        <v>#N/A</v>
      </c>
      <c r="S27">
        <v>27</v>
      </c>
    </row>
    <row r="28" spans="1:19" x14ac:dyDescent="0.15">
      <c r="A28">
        <v>3</v>
      </c>
      <c r="D28">
        <v>53</v>
      </c>
      <c r="G28" s="160">
        <v>103</v>
      </c>
      <c r="P28">
        <v>28</v>
      </c>
      <c r="Q28" t="e">
        <v>#N/A</v>
      </c>
      <c r="R28" t="e">
        <v>#N/A</v>
      </c>
      <c r="S28" t="b">
        <v>0</v>
      </c>
    </row>
    <row r="29" spans="1:19" x14ac:dyDescent="0.15">
      <c r="A29">
        <v>4</v>
      </c>
      <c r="D29">
        <v>54</v>
      </c>
      <c r="G29" s="160">
        <v>104</v>
      </c>
      <c r="P29">
        <v>29</v>
      </c>
      <c r="Q29">
        <v>29</v>
      </c>
      <c r="R29" t="e">
        <v>#N/A</v>
      </c>
      <c r="S29">
        <v>29</v>
      </c>
    </row>
    <row r="30" spans="1:19" x14ac:dyDescent="0.15">
      <c r="A30">
        <v>5</v>
      </c>
      <c r="D30">
        <v>55</v>
      </c>
      <c r="G30" s="160">
        <v>105</v>
      </c>
      <c r="P30">
        <v>30</v>
      </c>
      <c r="Q30">
        <v>30</v>
      </c>
      <c r="R30" t="e">
        <v>#N/A</v>
      </c>
      <c r="S30">
        <v>30</v>
      </c>
    </row>
    <row r="31" spans="1:19" x14ac:dyDescent="0.15">
      <c r="A31">
        <v>6</v>
      </c>
      <c r="D31">
        <v>56</v>
      </c>
      <c r="G31" s="160">
        <v>106</v>
      </c>
      <c r="P31">
        <v>31</v>
      </c>
      <c r="Q31" t="e">
        <v>#N/A</v>
      </c>
      <c r="R31" t="e">
        <v>#N/A</v>
      </c>
      <c r="S31" t="b">
        <v>0</v>
      </c>
    </row>
    <row r="32" spans="1:19" x14ac:dyDescent="0.15">
      <c r="A32">
        <v>7</v>
      </c>
      <c r="D32">
        <v>57</v>
      </c>
      <c r="G32" s="160">
        <v>107</v>
      </c>
      <c r="P32">
        <v>32</v>
      </c>
      <c r="Q32" t="e">
        <v>#N/A</v>
      </c>
      <c r="R32" t="e">
        <v>#N/A</v>
      </c>
      <c r="S32" t="b">
        <v>0</v>
      </c>
    </row>
    <row r="33" spans="1:19" x14ac:dyDescent="0.15">
      <c r="A33">
        <v>8</v>
      </c>
      <c r="D33">
        <v>58</v>
      </c>
      <c r="G33" s="160">
        <v>108</v>
      </c>
      <c r="P33">
        <v>33</v>
      </c>
      <c r="Q33">
        <v>33</v>
      </c>
      <c r="R33" t="e">
        <v>#N/A</v>
      </c>
      <c r="S33">
        <v>33</v>
      </c>
    </row>
    <row r="34" spans="1:19" x14ac:dyDescent="0.15">
      <c r="A34">
        <v>9</v>
      </c>
      <c r="D34">
        <v>59</v>
      </c>
      <c r="G34" s="160">
        <v>109</v>
      </c>
      <c r="P34">
        <v>34</v>
      </c>
      <c r="Q34" t="e">
        <v>#N/A</v>
      </c>
      <c r="R34">
        <v>34</v>
      </c>
      <c r="S34">
        <v>34</v>
      </c>
    </row>
    <row r="35" spans="1:19" x14ac:dyDescent="0.15">
      <c r="A35">
        <v>10</v>
      </c>
      <c r="D35">
        <v>60</v>
      </c>
      <c r="G35" s="160">
        <v>110</v>
      </c>
      <c r="P35">
        <v>35</v>
      </c>
      <c r="Q35">
        <v>35</v>
      </c>
      <c r="R35" t="e">
        <v>#N/A</v>
      </c>
      <c r="S35">
        <v>35</v>
      </c>
    </row>
    <row r="36" spans="1:19" x14ac:dyDescent="0.15">
      <c r="A36">
        <v>11</v>
      </c>
      <c r="D36">
        <v>61</v>
      </c>
      <c r="G36" s="160">
        <v>111</v>
      </c>
      <c r="P36">
        <v>36</v>
      </c>
      <c r="Q36" t="e">
        <v>#N/A</v>
      </c>
      <c r="R36">
        <v>36</v>
      </c>
      <c r="S36">
        <v>36</v>
      </c>
    </row>
    <row r="37" spans="1:19" x14ac:dyDescent="0.15">
      <c r="A37">
        <v>12</v>
      </c>
      <c r="D37">
        <v>62</v>
      </c>
      <c r="G37" s="160">
        <v>112</v>
      </c>
      <c r="P37">
        <v>37</v>
      </c>
      <c r="Q37" t="e">
        <v>#N/A</v>
      </c>
      <c r="R37">
        <v>37</v>
      </c>
      <c r="S37">
        <v>37</v>
      </c>
    </row>
    <row r="38" spans="1:19" x14ac:dyDescent="0.15">
      <c r="A38">
        <v>13</v>
      </c>
      <c r="D38">
        <v>63</v>
      </c>
      <c r="G38" s="160">
        <v>113</v>
      </c>
      <c r="P38">
        <v>38</v>
      </c>
      <c r="Q38" t="e">
        <v>#N/A</v>
      </c>
      <c r="R38">
        <v>38</v>
      </c>
      <c r="S38">
        <v>38</v>
      </c>
    </row>
    <row r="39" spans="1:19" x14ac:dyDescent="0.15">
      <c r="A39">
        <v>14</v>
      </c>
      <c r="D39">
        <v>64</v>
      </c>
      <c r="G39" s="160">
        <v>114</v>
      </c>
      <c r="P39">
        <v>39</v>
      </c>
      <c r="Q39" t="e">
        <v>#N/A</v>
      </c>
      <c r="R39">
        <v>39</v>
      </c>
      <c r="S39">
        <v>39</v>
      </c>
    </row>
    <row r="40" spans="1:19" x14ac:dyDescent="0.15">
      <c r="A40">
        <v>15</v>
      </c>
      <c r="D40">
        <v>65</v>
      </c>
      <c r="G40" s="160">
        <v>115</v>
      </c>
      <c r="P40">
        <v>40</v>
      </c>
      <c r="Q40" t="e">
        <v>#N/A</v>
      </c>
      <c r="R40" t="e">
        <v>#N/A</v>
      </c>
      <c r="S40" t="b">
        <v>0</v>
      </c>
    </row>
    <row r="41" spans="1:19" x14ac:dyDescent="0.15">
      <c r="A41">
        <v>16</v>
      </c>
      <c r="D41">
        <v>66</v>
      </c>
      <c r="G41" s="160">
        <v>116</v>
      </c>
      <c r="P41">
        <v>41</v>
      </c>
      <c r="Q41">
        <v>41</v>
      </c>
      <c r="R41" t="e">
        <v>#N/A</v>
      </c>
      <c r="S41">
        <v>41</v>
      </c>
    </row>
    <row r="42" spans="1:19" x14ac:dyDescent="0.15">
      <c r="A42">
        <v>17</v>
      </c>
      <c r="D42">
        <v>67</v>
      </c>
      <c r="G42" s="160">
        <v>117</v>
      </c>
      <c r="P42">
        <v>42</v>
      </c>
      <c r="Q42">
        <v>42</v>
      </c>
      <c r="R42" t="e">
        <v>#N/A</v>
      </c>
      <c r="S42">
        <v>42</v>
      </c>
    </row>
    <row r="43" spans="1:19" x14ac:dyDescent="0.15">
      <c r="A43">
        <v>18</v>
      </c>
      <c r="D43">
        <v>68</v>
      </c>
      <c r="G43" s="160">
        <v>118</v>
      </c>
      <c r="P43">
        <v>43</v>
      </c>
      <c r="Q43" t="e">
        <v>#N/A</v>
      </c>
      <c r="R43">
        <v>43</v>
      </c>
      <c r="S43">
        <v>43</v>
      </c>
    </row>
    <row r="44" spans="1:19" x14ac:dyDescent="0.15">
      <c r="A44">
        <v>19</v>
      </c>
      <c r="D44">
        <v>69</v>
      </c>
      <c r="G44" s="160">
        <v>119</v>
      </c>
      <c r="P44">
        <v>44</v>
      </c>
      <c r="Q44">
        <v>44</v>
      </c>
      <c r="R44" t="e">
        <v>#N/A</v>
      </c>
      <c r="S44">
        <v>44</v>
      </c>
    </row>
    <row r="45" spans="1:19" x14ac:dyDescent="0.15">
      <c r="A45">
        <v>20</v>
      </c>
      <c r="D45">
        <v>70</v>
      </c>
      <c r="G45" s="160">
        <v>120</v>
      </c>
      <c r="P45">
        <v>45</v>
      </c>
      <c r="Q45">
        <v>45</v>
      </c>
      <c r="R45" t="e">
        <v>#N/A</v>
      </c>
      <c r="S45">
        <v>45</v>
      </c>
    </row>
    <row r="46" spans="1:19" x14ac:dyDescent="0.15">
      <c r="A46">
        <v>21</v>
      </c>
      <c r="D46">
        <v>71</v>
      </c>
      <c r="G46" s="160">
        <v>121</v>
      </c>
      <c r="P46">
        <v>46</v>
      </c>
      <c r="Q46" t="e">
        <v>#N/A</v>
      </c>
      <c r="R46">
        <v>46</v>
      </c>
      <c r="S46">
        <v>46</v>
      </c>
    </row>
    <row r="47" spans="1:19" x14ac:dyDescent="0.15">
      <c r="A47">
        <v>22</v>
      </c>
      <c r="D47">
        <v>72</v>
      </c>
      <c r="G47" s="160">
        <v>122</v>
      </c>
      <c r="P47">
        <v>47</v>
      </c>
      <c r="Q47" t="e">
        <v>#N/A</v>
      </c>
      <c r="R47">
        <v>47</v>
      </c>
      <c r="S47">
        <v>47</v>
      </c>
    </row>
    <row r="48" spans="1:19" x14ac:dyDescent="0.15">
      <c r="A48">
        <v>23</v>
      </c>
      <c r="D48">
        <v>73</v>
      </c>
      <c r="G48" s="160">
        <v>123</v>
      </c>
      <c r="P48">
        <v>48</v>
      </c>
      <c r="Q48" t="e">
        <v>#N/A</v>
      </c>
      <c r="R48">
        <v>48</v>
      </c>
      <c r="S48">
        <v>48</v>
      </c>
    </row>
    <row r="49" spans="1:19" x14ac:dyDescent="0.15">
      <c r="A49">
        <v>24</v>
      </c>
      <c r="D49">
        <v>74</v>
      </c>
      <c r="G49" s="160">
        <v>124</v>
      </c>
      <c r="P49">
        <v>49</v>
      </c>
      <c r="Q49" t="e">
        <v>#N/A</v>
      </c>
      <c r="R49" t="e">
        <v>#N/A</v>
      </c>
      <c r="S49" t="b">
        <v>0</v>
      </c>
    </row>
    <row r="50" spans="1:19" x14ac:dyDescent="0.15">
      <c r="A50">
        <v>25</v>
      </c>
      <c r="D50">
        <v>75</v>
      </c>
      <c r="G50" s="160">
        <v>125</v>
      </c>
      <c r="P50">
        <v>50</v>
      </c>
      <c r="Q50" t="e">
        <v>#N/A</v>
      </c>
      <c r="R50" t="e">
        <v>#N/A</v>
      </c>
      <c r="S50" t="b">
        <v>0</v>
      </c>
    </row>
    <row r="51" spans="1:19" x14ac:dyDescent="0.15">
      <c r="A51">
        <v>26</v>
      </c>
      <c r="D51">
        <v>76</v>
      </c>
      <c r="G51" s="160">
        <v>126</v>
      </c>
      <c r="P51">
        <v>51</v>
      </c>
      <c r="Q51" t="e">
        <v>#N/A</v>
      </c>
      <c r="R51">
        <v>51</v>
      </c>
      <c r="S51">
        <v>51</v>
      </c>
    </row>
    <row r="52" spans="1:19" x14ac:dyDescent="0.15">
      <c r="A52">
        <v>27</v>
      </c>
      <c r="D52">
        <v>77</v>
      </c>
      <c r="G52" s="160">
        <v>127</v>
      </c>
      <c r="P52">
        <v>52</v>
      </c>
      <c r="Q52" t="e">
        <v>#N/A</v>
      </c>
      <c r="R52">
        <v>52</v>
      </c>
      <c r="S52">
        <v>52</v>
      </c>
    </row>
    <row r="53" spans="1:19" x14ac:dyDescent="0.15">
      <c r="A53">
        <v>28</v>
      </c>
      <c r="D53">
        <v>78</v>
      </c>
      <c r="G53" s="160">
        <v>128</v>
      </c>
      <c r="P53">
        <v>53</v>
      </c>
      <c r="Q53" t="e">
        <v>#N/A</v>
      </c>
      <c r="R53">
        <v>53</v>
      </c>
      <c r="S53">
        <v>53</v>
      </c>
    </row>
    <row r="54" spans="1:19" x14ac:dyDescent="0.15">
      <c r="A54">
        <v>29</v>
      </c>
      <c r="D54">
        <v>79</v>
      </c>
      <c r="G54" s="160">
        <v>129</v>
      </c>
      <c r="P54">
        <v>54</v>
      </c>
      <c r="Q54" t="e">
        <v>#N/A</v>
      </c>
      <c r="R54">
        <v>54</v>
      </c>
      <c r="S54">
        <v>54</v>
      </c>
    </row>
    <row r="55" spans="1:19" x14ac:dyDescent="0.15">
      <c r="A55">
        <v>30</v>
      </c>
      <c r="D55">
        <v>80</v>
      </c>
      <c r="G55" s="160">
        <v>130</v>
      </c>
      <c r="P55">
        <v>55</v>
      </c>
      <c r="Q55" t="e">
        <v>#N/A</v>
      </c>
      <c r="R55">
        <v>55</v>
      </c>
      <c r="S55">
        <v>55</v>
      </c>
    </row>
    <row r="56" spans="1:19" x14ac:dyDescent="0.15">
      <c r="A56">
        <v>31</v>
      </c>
      <c r="D56">
        <v>81</v>
      </c>
      <c r="G56" s="160">
        <v>131</v>
      </c>
      <c r="P56">
        <v>56</v>
      </c>
      <c r="Q56" t="e">
        <v>#N/A</v>
      </c>
      <c r="R56" t="e">
        <v>#N/A</v>
      </c>
      <c r="S56" t="b">
        <v>0</v>
      </c>
    </row>
    <row r="57" spans="1:19" x14ac:dyDescent="0.15">
      <c r="A57">
        <v>32</v>
      </c>
      <c r="D57">
        <v>82</v>
      </c>
      <c r="G57" s="160">
        <v>132</v>
      </c>
      <c r="P57">
        <v>57</v>
      </c>
      <c r="Q57" t="e">
        <v>#N/A</v>
      </c>
      <c r="R57">
        <v>57</v>
      </c>
      <c r="S57">
        <v>57</v>
      </c>
    </row>
    <row r="58" spans="1:19" x14ac:dyDescent="0.15">
      <c r="A58">
        <v>33</v>
      </c>
      <c r="D58">
        <v>83</v>
      </c>
      <c r="G58" s="160">
        <v>133</v>
      </c>
      <c r="P58">
        <v>58</v>
      </c>
      <c r="Q58" t="e">
        <v>#N/A</v>
      </c>
      <c r="R58">
        <v>58</v>
      </c>
      <c r="S58">
        <v>58</v>
      </c>
    </row>
    <row r="59" spans="1:19" x14ac:dyDescent="0.15">
      <c r="A59">
        <v>34</v>
      </c>
      <c r="D59">
        <v>84</v>
      </c>
      <c r="G59" s="160">
        <v>134</v>
      </c>
      <c r="P59">
        <v>59</v>
      </c>
      <c r="Q59" t="e">
        <v>#N/A</v>
      </c>
      <c r="R59">
        <v>59</v>
      </c>
      <c r="S59">
        <v>59</v>
      </c>
    </row>
    <row r="60" spans="1:19" x14ac:dyDescent="0.15">
      <c r="A60">
        <v>35</v>
      </c>
      <c r="D60">
        <v>85</v>
      </c>
      <c r="G60" s="160">
        <v>135</v>
      </c>
      <c r="P60">
        <v>60</v>
      </c>
      <c r="Q60" t="e">
        <v>#N/A</v>
      </c>
      <c r="R60">
        <v>60</v>
      </c>
      <c r="S60">
        <v>60</v>
      </c>
    </row>
    <row r="61" spans="1:19" x14ac:dyDescent="0.15">
      <c r="A61">
        <v>36</v>
      </c>
      <c r="D61">
        <v>86</v>
      </c>
      <c r="G61" s="160">
        <v>136</v>
      </c>
      <c r="P61">
        <v>61</v>
      </c>
      <c r="Q61" t="e">
        <v>#N/A</v>
      </c>
      <c r="R61">
        <v>61</v>
      </c>
      <c r="S61">
        <v>61</v>
      </c>
    </row>
    <row r="62" spans="1:19" x14ac:dyDescent="0.15">
      <c r="A62">
        <v>37</v>
      </c>
      <c r="D62">
        <v>87</v>
      </c>
      <c r="G62" s="160">
        <v>137</v>
      </c>
      <c r="P62">
        <v>62</v>
      </c>
      <c r="Q62" t="e">
        <v>#N/A</v>
      </c>
      <c r="R62">
        <v>62</v>
      </c>
      <c r="S62">
        <v>62</v>
      </c>
    </row>
    <row r="63" spans="1:19" x14ac:dyDescent="0.15">
      <c r="A63">
        <v>38</v>
      </c>
      <c r="D63">
        <v>88</v>
      </c>
      <c r="G63" s="160">
        <v>138</v>
      </c>
      <c r="P63">
        <v>63</v>
      </c>
      <c r="Q63" t="e">
        <v>#N/A</v>
      </c>
      <c r="R63">
        <v>63</v>
      </c>
      <c r="S63">
        <v>63</v>
      </c>
    </row>
    <row r="64" spans="1:19" x14ac:dyDescent="0.15">
      <c r="A64">
        <v>39</v>
      </c>
      <c r="D64">
        <v>89</v>
      </c>
      <c r="G64" s="160">
        <v>139</v>
      </c>
      <c r="P64">
        <v>64</v>
      </c>
      <c r="Q64" t="e">
        <v>#N/A</v>
      </c>
      <c r="R64">
        <v>64</v>
      </c>
      <c r="S64">
        <v>64</v>
      </c>
    </row>
    <row r="65" spans="1:19" x14ac:dyDescent="0.15">
      <c r="A65">
        <v>40</v>
      </c>
      <c r="D65">
        <v>90</v>
      </c>
      <c r="G65" s="160">
        <v>140</v>
      </c>
      <c r="P65">
        <v>65</v>
      </c>
      <c r="Q65">
        <v>65</v>
      </c>
      <c r="R65" t="e">
        <v>#N/A</v>
      </c>
      <c r="S65">
        <v>65</v>
      </c>
    </row>
    <row r="66" spans="1:19" x14ac:dyDescent="0.15">
      <c r="A66">
        <v>41</v>
      </c>
      <c r="D66">
        <v>91</v>
      </c>
      <c r="G66" s="160">
        <v>141</v>
      </c>
      <c r="P66">
        <v>66</v>
      </c>
      <c r="Q66" t="e">
        <v>#N/A</v>
      </c>
      <c r="R66" t="e">
        <v>#N/A</v>
      </c>
      <c r="S66" t="b">
        <v>0</v>
      </c>
    </row>
    <row r="67" spans="1:19" x14ac:dyDescent="0.15">
      <c r="A67">
        <v>42</v>
      </c>
      <c r="D67">
        <v>92</v>
      </c>
      <c r="G67" s="160">
        <v>142</v>
      </c>
      <c r="P67">
        <v>67</v>
      </c>
      <c r="Q67">
        <v>67</v>
      </c>
      <c r="R67" t="e">
        <v>#N/A</v>
      </c>
      <c r="S67">
        <v>67</v>
      </c>
    </row>
    <row r="68" spans="1:19" x14ac:dyDescent="0.15">
      <c r="A68">
        <v>43</v>
      </c>
      <c r="D68">
        <v>93</v>
      </c>
      <c r="G68" s="160">
        <v>143</v>
      </c>
      <c r="P68">
        <v>68</v>
      </c>
      <c r="Q68">
        <v>68</v>
      </c>
      <c r="R68" t="e">
        <v>#N/A</v>
      </c>
      <c r="S68">
        <v>68</v>
      </c>
    </row>
    <row r="69" spans="1:19" x14ac:dyDescent="0.15">
      <c r="A69">
        <v>44</v>
      </c>
      <c r="D69">
        <v>94</v>
      </c>
      <c r="G69" s="160">
        <v>144</v>
      </c>
      <c r="P69">
        <v>69</v>
      </c>
      <c r="Q69" t="e">
        <v>#N/A</v>
      </c>
      <c r="R69" t="e">
        <v>#N/A</v>
      </c>
      <c r="S69" t="b">
        <v>0</v>
      </c>
    </row>
    <row r="70" spans="1:19" x14ac:dyDescent="0.15">
      <c r="A70">
        <v>45</v>
      </c>
      <c r="D70">
        <v>95</v>
      </c>
      <c r="G70" s="160">
        <v>145</v>
      </c>
      <c r="P70">
        <v>70</v>
      </c>
      <c r="Q70">
        <v>70</v>
      </c>
      <c r="R70" t="e">
        <v>#N/A</v>
      </c>
      <c r="S70">
        <v>70</v>
      </c>
    </row>
    <row r="71" spans="1:19" x14ac:dyDescent="0.15">
      <c r="A71">
        <v>46</v>
      </c>
      <c r="D71">
        <v>96</v>
      </c>
      <c r="G71" s="160">
        <v>146</v>
      </c>
      <c r="P71">
        <v>71</v>
      </c>
      <c r="Q71" t="e">
        <v>#N/A</v>
      </c>
      <c r="R71" t="e">
        <v>#N/A</v>
      </c>
      <c r="S71" t="b">
        <v>0</v>
      </c>
    </row>
    <row r="72" spans="1:19" x14ac:dyDescent="0.15">
      <c r="A72">
        <v>47</v>
      </c>
      <c r="D72">
        <v>97</v>
      </c>
      <c r="G72" s="160">
        <v>147</v>
      </c>
      <c r="P72">
        <v>72</v>
      </c>
      <c r="Q72">
        <v>72</v>
      </c>
      <c r="R72" t="e">
        <v>#N/A</v>
      </c>
      <c r="S72">
        <v>72</v>
      </c>
    </row>
    <row r="73" spans="1:19" x14ac:dyDescent="0.15">
      <c r="A73">
        <v>48</v>
      </c>
      <c r="D73">
        <v>98</v>
      </c>
      <c r="G73" s="160">
        <v>148</v>
      </c>
      <c r="P73">
        <v>73</v>
      </c>
      <c r="Q73">
        <v>73</v>
      </c>
      <c r="R73" t="e">
        <v>#N/A</v>
      </c>
      <c r="S73">
        <v>73</v>
      </c>
    </row>
    <row r="74" spans="1:19" x14ac:dyDescent="0.15">
      <c r="A74">
        <v>49</v>
      </c>
      <c r="D74">
        <v>99</v>
      </c>
      <c r="G74" s="160">
        <v>149</v>
      </c>
      <c r="P74">
        <v>74</v>
      </c>
      <c r="Q74">
        <v>74</v>
      </c>
      <c r="R74" t="e">
        <v>#N/A</v>
      </c>
      <c r="S74">
        <v>74</v>
      </c>
    </row>
    <row r="75" spans="1:19" x14ac:dyDescent="0.15">
      <c r="A75">
        <v>50</v>
      </c>
      <c r="D75">
        <v>100</v>
      </c>
      <c r="G75" s="160">
        <v>150</v>
      </c>
      <c r="P75">
        <v>75</v>
      </c>
      <c r="Q75">
        <v>75</v>
      </c>
      <c r="R75">
        <v>75</v>
      </c>
      <c r="S75">
        <v>75</v>
      </c>
    </row>
    <row r="76" spans="1:19" x14ac:dyDescent="0.15">
      <c r="P76">
        <v>76</v>
      </c>
      <c r="Q76">
        <v>76</v>
      </c>
      <c r="R76" t="e">
        <v>#N/A</v>
      </c>
      <c r="S76">
        <v>76</v>
      </c>
    </row>
    <row r="77" spans="1:19" x14ac:dyDescent="0.15">
      <c r="P77">
        <v>77</v>
      </c>
      <c r="Q77">
        <v>77</v>
      </c>
      <c r="R77" t="e">
        <v>#N/A</v>
      </c>
      <c r="S77">
        <v>77</v>
      </c>
    </row>
    <row r="78" spans="1:19" x14ac:dyDescent="0.15">
      <c r="P78">
        <v>78</v>
      </c>
      <c r="Q78">
        <v>78</v>
      </c>
      <c r="R78" t="e">
        <v>#N/A</v>
      </c>
      <c r="S78">
        <v>78</v>
      </c>
    </row>
    <row r="79" spans="1:19" x14ac:dyDescent="0.15">
      <c r="P79">
        <v>79</v>
      </c>
      <c r="Q79" t="e">
        <v>#N/A</v>
      </c>
      <c r="R79" t="e">
        <v>#N/A</v>
      </c>
      <c r="S79" t="b">
        <v>0</v>
      </c>
    </row>
    <row r="80" spans="1:19" x14ac:dyDescent="0.15">
      <c r="P80">
        <v>80</v>
      </c>
      <c r="Q80">
        <v>80</v>
      </c>
      <c r="R80" t="e">
        <v>#N/A</v>
      </c>
      <c r="S80">
        <v>80</v>
      </c>
    </row>
    <row r="81" spans="16:19" x14ac:dyDescent="0.15">
      <c r="P81">
        <v>81</v>
      </c>
      <c r="Q81" t="e">
        <v>#N/A</v>
      </c>
      <c r="R81">
        <v>81</v>
      </c>
      <c r="S81">
        <v>81</v>
      </c>
    </row>
    <row r="82" spans="16:19" x14ac:dyDescent="0.15">
      <c r="P82">
        <v>82</v>
      </c>
      <c r="Q82">
        <v>82</v>
      </c>
      <c r="R82" t="e">
        <v>#N/A</v>
      </c>
      <c r="S82">
        <v>82</v>
      </c>
    </row>
    <row r="83" spans="16:19" x14ac:dyDescent="0.15">
      <c r="P83">
        <v>83</v>
      </c>
      <c r="Q83" t="e">
        <v>#N/A</v>
      </c>
      <c r="R83">
        <v>83</v>
      </c>
      <c r="S83">
        <v>83</v>
      </c>
    </row>
    <row r="84" spans="16:19" x14ac:dyDescent="0.15">
      <c r="P84">
        <v>84</v>
      </c>
      <c r="Q84" t="e">
        <v>#N/A</v>
      </c>
      <c r="R84" t="e">
        <v>#N/A</v>
      </c>
      <c r="S84" t="b">
        <v>0</v>
      </c>
    </row>
    <row r="85" spans="16:19" x14ac:dyDescent="0.15">
      <c r="P85">
        <v>85</v>
      </c>
      <c r="Q85" t="e">
        <v>#N/A</v>
      </c>
      <c r="R85" t="e">
        <v>#N/A</v>
      </c>
      <c r="S85" t="b">
        <v>0</v>
      </c>
    </row>
    <row r="86" spans="16:19" x14ac:dyDescent="0.15">
      <c r="P86">
        <v>86</v>
      </c>
      <c r="Q86" t="e">
        <v>#N/A</v>
      </c>
      <c r="R86">
        <v>86</v>
      </c>
      <c r="S86">
        <v>86</v>
      </c>
    </row>
    <row r="87" spans="16:19" x14ac:dyDescent="0.15">
      <c r="P87">
        <v>87</v>
      </c>
      <c r="Q87" t="e">
        <v>#N/A</v>
      </c>
      <c r="R87">
        <v>87</v>
      </c>
      <c r="S87">
        <v>87</v>
      </c>
    </row>
    <row r="88" spans="16:19" x14ac:dyDescent="0.15">
      <c r="P88">
        <v>88</v>
      </c>
      <c r="Q88" t="e">
        <v>#N/A</v>
      </c>
      <c r="R88" t="e">
        <v>#N/A</v>
      </c>
      <c r="S88" t="b">
        <v>0</v>
      </c>
    </row>
    <row r="89" spans="16:19" x14ac:dyDescent="0.15">
      <c r="P89">
        <v>89</v>
      </c>
      <c r="Q89" t="e">
        <v>#N/A</v>
      </c>
      <c r="R89" t="e">
        <v>#N/A</v>
      </c>
      <c r="S89" t="b">
        <v>0</v>
      </c>
    </row>
    <row r="90" spans="16:19" x14ac:dyDescent="0.15">
      <c r="P90">
        <v>90</v>
      </c>
      <c r="Q90">
        <v>90</v>
      </c>
      <c r="R90" t="e">
        <v>#N/A</v>
      </c>
      <c r="S90">
        <v>90</v>
      </c>
    </row>
    <row r="91" spans="16:19" x14ac:dyDescent="0.15">
      <c r="P91">
        <v>91</v>
      </c>
      <c r="Q91">
        <v>91</v>
      </c>
      <c r="R91" t="e">
        <v>#N/A</v>
      </c>
      <c r="S91">
        <v>91</v>
      </c>
    </row>
    <row r="92" spans="16:19" x14ac:dyDescent="0.15">
      <c r="P92">
        <v>92</v>
      </c>
      <c r="Q92" t="e">
        <v>#N/A</v>
      </c>
      <c r="R92" t="e">
        <v>#N/A</v>
      </c>
      <c r="S92" t="b">
        <v>0</v>
      </c>
    </row>
    <row r="93" spans="16:19" x14ac:dyDescent="0.15">
      <c r="P93">
        <v>93</v>
      </c>
      <c r="Q93" t="e">
        <v>#N/A</v>
      </c>
      <c r="R93">
        <v>93</v>
      </c>
      <c r="S93">
        <v>93</v>
      </c>
    </row>
    <row r="94" spans="16:19" x14ac:dyDescent="0.15">
      <c r="P94">
        <v>94</v>
      </c>
      <c r="Q94" t="e">
        <v>#N/A</v>
      </c>
      <c r="R94" t="e">
        <v>#N/A</v>
      </c>
      <c r="S94" t="b">
        <v>0</v>
      </c>
    </row>
    <row r="95" spans="16:19" x14ac:dyDescent="0.15">
      <c r="P95">
        <v>95</v>
      </c>
      <c r="Q95">
        <v>95</v>
      </c>
      <c r="R95" t="e">
        <v>#N/A</v>
      </c>
      <c r="S95">
        <v>95</v>
      </c>
    </row>
    <row r="96" spans="16:19" x14ac:dyDescent="0.15">
      <c r="P96">
        <v>96</v>
      </c>
      <c r="Q96">
        <v>96</v>
      </c>
      <c r="R96" t="e">
        <v>#N/A</v>
      </c>
      <c r="S96">
        <v>96</v>
      </c>
    </row>
    <row r="97" spans="16:19" x14ac:dyDescent="0.15">
      <c r="P97">
        <v>97</v>
      </c>
      <c r="Q97">
        <v>97</v>
      </c>
      <c r="R97" t="e">
        <v>#N/A</v>
      </c>
      <c r="S97">
        <v>97</v>
      </c>
    </row>
    <row r="98" spans="16:19" x14ac:dyDescent="0.15">
      <c r="P98">
        <v>98</v>
      </c>
      <c r="Q98">
        <v>98</v>
      </c>
      <c r="R98" t="e">
        <v>#N/A</v>
      </c>
      <c r="S98">
        <v>98</v>
      </c>
    </row>
    <row r="99" spans="16:19" x14ac:dyDescent="0.15">
      <c r="P99">
        <v>99</v>
      </c>
      <c r="Q99">
        <v>99</v>
      </c>
      <c r="R99" t="e">
        <v>#N/A</v>
      </c>
      <c r="S99">
        <v>99</v>
      </c>
    </row>
    <row r="100" spans="16:19" x14ac:dyDescent="0.15">
      <c r="P100">
        <v>100</v>
      </c>
      <c r="Q100">
        <v>100</v>
      </c>
      <c r="R100" t="e">
        <v>#N/A</v>
      </c>
      <c r="S100">
        <v>100</v>
      </c>
    </row>
    <row r="101" spans="16:19" x14ac:dyDescent="0.15">
      <c r="P101">
        <v>101</v>
      </c>
      <c r="Q101">
        <v>101</v>
      </c>
      <c r="R101" t="e">
        <v>#N/A</v>
      </c>
      <c r="S101">
        <v>101</v>
      </c>
    </row>
    <row r="102" spans="16:19" x14ac:dyDescent="0.15">
      <c r="P102">
        <v>102</v>
      </c>
      <c r="Q102" t="e">
        <v>#N/A</v>
      </c>
      <c r="R102">
        <v>102</v>
      </c>
      <c r="S102">
        <v>102</v>
      </c>
    </row>
    <row r="103" spans="16:19" x14ac:dyDescent="0.15">
      <c r="P103">
        <v>103</v>
      </c>
      <c r="Q103" t="e">
        <v>#N/A</v>
      </c>
      <c r="R103">
        <v>103</v>
      </c>
      <c r="S103">
        <v>103</v>
      </c>
    </row>
    <row r="104" spans="16:19" x14ac:dyDescent="0.15">
      <c r="P104">
        <v>104</v>
      </c>
      <c r="Q104" t="e">
        <v>#N/A</v>
      </c>
      <c r="R104">
        <v>104</v>
      </c>
      <c r="S104">
        <v>104</v>
      </c>
    </row>
    <row r="105" spans="16:19" x14ac:dyDescent="0.15">
      <c r="P105">
        <v>105</v>
      </c>
      <c r="Q105" t="e">
        <v>#N/A</v>
      </c>
      <c r="R105">
        <v>105</v>
      </c>
      <c r="S105">
        <v>105</v>
      </c>
    </row>
    <row r="106" spans="16:19" x14ac:dyDescent="0.15">
      <c r="P106">
        <v>106</v>
      </c>
      <c r="Q106" t="e">
        <v>#N/A</v>
      </c>
      <c r="R106">
        <v>106</v>
      </c>
      <c r="S106">
        <v>106</v>
      </c>
    </row>
    <row r="107" spans="16:19" x14ac:dyDescent="0.15">
      <c r="P107">
        <v>107</v>
      </c>
      <c r="Q107" t="e">
        <v>#N/A</v>
      </c>
      <c r="R107" t="e">
        <v>#N/A</v>
      </c>
      <c r="S107" t="b">
        <v>0</v>
      </c>
    </row>
    <row r="108" spans="16:19" x14ac:dyDescent="0.15">
      <c r="P108">
        <v>108</v>
      </c>
      <c r="Q108" t="e">
        <v>#N/A</v>
      </c>
      <c r="R108">
        <v>108</v>
      </c>
      <c r="S108">
        <v>108</v>
      </c>
    </row>
    <row r="109" spans="16:19" x14ac:dyDescent="0.15">
      <c r="P109">
        <v>109</v>
      </c>
      <c r="Q109">
        <v>109</v>
      </c>
      <c r="R109">
        <v>109</v>
      </c>
      <c r="S109">
        <v>109</v>
      </c>
    </row>
    <row r="110" spans="16:19" x14ac:dyDescent="0.15">
      <c r="P110">
        <v>110</v>
      </c>
      <c r="Q110" t="e">
        <v>#N/A</v>
      </c>
      <c r="R110" t="e">
        <v>#N/A</v>
      </c>
      <c r="S110" t="b">
        <v>0</v>
      </c>
    </row>
    <row r="111" spans="16:19" x14ac:dyDescent="0.15">
      <c r="P111">
        <v>111</v>
      </c>
      <c r="Q111" t="e">
        <v>#N/A</v>
      </c>
      <c r="R111" t="e">
        <v>#N/A</v>
      </c>
      <c r="S111" t="b">
        <v>0</v>
      </c>
    </row>
    <row r="112" spans="16:19" x14ac:dyDescent="0.15">
      <c r="P112">
        <v>112</v>
      </c>
      <c r="Q112" t="e">
        <v>#N/A</v>
      </c>
      <c r="R112" t="e">
        <v>#N/A</v>
      </c>
      <c r="S112" t="b">
        <v>0</v>
      </c>
    </row>
    <row r="113" spans="16:19" x14ac:dyDescent="0.15">
      <c r="P113">
        <v>113</v>
      </c>
      <c r="Q113" t="e">
        <v>#N/A</v>
      </c>
      <c r="R113" t="e">
        <v>#N/A</v>
      </c>
      <c r="S113" t="b">
        <v>0</v>
      </c>
    </row>
    <row r="114" spans="16:19" x14ac:dyDescent="0.15">
      <c r="P114">
        <v>114</v>
      </c>
      <c r="Q114" t="e">
        <v>#N/A</v>
      </c>
      <c r="R114">
        <v>114</v>
      </c>
      <c r="S114">
        <v>114</v>
      </c>
    </row>
    <row r="115" spans="16:19" x14ac:dyDescent="0.15">
      <c r="P115">
        <v>115</v>
      </c>
      <c r="Q115" t="e">
        <v>#N/A</v>
      </c>
      <c r="R115">
        <v>115</v>
      </c>
      <c r="S115">
        <v>115</v>
      </c>
    </row>
    <row r="116" spans="16:19" x14ac:dyDescent="0.15">
      <c r="P116">
        <v>116</v>
      </c>
      <c r="Q116" t="e">
        <v>#N/A</v>
      </c>
      <c r="R116" t="e">
        <v>#N/A</v>
      </c>
      <c r="S116" t="b">
        <v>0</v>
      </c>
    </row>
    <row r="117" spans="16:19" x14ac:dyDescent="0.15">
      <c r="P117">
        <v>117</v>
      </c>
      <c r="Q117">
        <v>117</v>
      </c>
      <c r="R117">
        <v>117</v>
      </c>
      <c r="S117">
        <v>117</v>
      </c>
    </row>
    <row r="118" spans="16:19" x14ac:dyDescent="0.15">
      <c r="P118">
        <v>118</v>
      </c>
      <c r="Q118" t="e">
        <v>#N/A</v>
      </c>
      <c r="R118" t="e">
        <v>#N/A</v>
      </c>
      <c r="S118" t="b">
        <v>0</v>
      </c>
    </row>
    <row r="119" spans="16:19" x14ac:dyDescent="0.15">
      <c r="P119">
        <v>119</v>
      </c>
      <c r="Q119" t="e">
        <v>#N/A</v>
      </c>
      <c r="R119">
        <v>119</v>
      </c>
      <c r="S119">
        <v>119</v>
      </c>
    </row>
    <row r="120" spans="16:19" x14ac:dyDescent="0.15">
      <c r="P120">
        <v>120</v>
      </c>
      <c r="Q120" t="e">
        <v>#N/A</v>
      </c>
      <c r="R120">
        <v>120</v>
      </c>
      <c r="S120">
        <v>120</v>
      </c>
    </row>
    <row r="121" spans="16:19" x14ac:dyDescent="0.15">
      <c r="P121">
        <v>121</v>
      </c>
      <c r="Q121" t="e">
        <v>#N/A</v>
      </c>
      <c r="R121">
        <v>121</v>
      </c>
      <c r="S121">
        <v>121</v>
      </c>
    </row>
    <row r="122" spans="16:19" x14ac:dyDescent="0.15">
      <c r="P122">
        <v>122</v>
      </c>
      <c r="Q122" t="e">
        <v>#N/A</v>
      </c>
      <c r="R122" t="e">
        <v>#N/A</v>
      </c>
      <c r="S122" t="b">
        <v>0</v>
      </c>
    </row>
    <row r="123" spans="16:19" x14ac:dyDescent="0.15">
      <c r="P123">
        <v>123</v>
      </c>
      <c r="Q123" t="e">
        <v>#N/A</v>
      </c>
      <c r="R123" t="e">
        <v>#N/A</v>
      </c>
      <c r="S123" t="b">
        <v>0</v>
      </c>
    </row>
    <row r="124" spans="16:19" x14ac:dyDescent="0.15">
      <c r="P124">
        <v>124</v>
      </c>
      <c r="Q124" t="e">
        <v>#N/A</v>
      </c>
      <c r="R124" t="e">
        <v>#N/A</v>
      </c>
      <c r="S124" t="b">
        <v>0</v>
      </c>
    </row>
    <row r="125" spans="16:19" x14ac:dyDescent="0.15">
      <c r="P125">
        <v>125</v>
      </c>
      <c r="Q125" t="e">
        <v>#N/A</v>
      </c>
      <c r="R125">
        <v>125</v>
      </c>
      <c r="S125">
        <v>125</v>
      </c>
    </row>
    <row r="126" spans="16:19" x14ac:dyDescent="0.15">
      <c r="P126">
        <v>126</v>
      </c>
      <c r="Q126" t="e">
        <v>#N/A</v>
      </c>
      <c r="R126" t="e">
        <v>#N/A</v>
      </c>
      <c r="S126" t="b">
        <v>0</v>
      </c>
    </row>
    <row r="127" spans="16:19" x14ac:dyDescent="0.15">
      <c r="P127">
        <v>127</v>
      </c>
      <c r="Q127" t="e">
        <v>#N/A</v>
      </c>
      <c r="R127">
        <v>127</v>
      </c>
      <c r="S127">
        <v>127</v>
      </c>
    </row>
    <row r="128" spans="16:19" x14ac:dyDescent="0.15">
      <c r="P128">
        <v>128</v>
      </c>
      <c r="Q128" t="e">
        <v>#N/A</v>
      </c>
      <c r="R128">
        <v>128</v>
      </c>
      <c r="S128">
        <v>128</v>
      </c>
    </row>
    <row r="129" spans="16:19" x14ac:dyDescent="0.15">
      <c r="P129">
        <v>129</v>
      </c>
      <c r="Q129" t="e">
        <v>#N/A</v>
      </c>
      <c r="R129" t="e">
        <v>#N/A</v>
      </c>
      <c r="S129" t="b">
        <v>0</v>
      </c>
    </row>
    <row r="130" spans="16:19" x14ac:dyDescent="0.15">
      <c r="P130">
        <v>130</v>
      </c>
      <c r="Q130" t="e">
        <v>#N/A</v>
      </c>
      <c r="R130" t="e">
        <v>#N/A</v>
      </c>
      <c r="S130" t="b">
        <v>0</v>
      </c>
    </row>
    <row r="131" spans="16:19" x14ac:dyDescent="0.15">
      <c r="P131">
        <v>131</v>
      </c>
      <c r="Q131" t="e">
        <v>#N/A</v>
      </c>
      <c r="R131" t="e">
        <v>#N/A</v>
      </c>
      <c r="S131" t="b">
        <v>0</v>
      </c>
    </row>
    <row r="132" spans="16:19" x14ac:dyDescent="0.15">
      <c r="P132">
        <v>132</v>
      </c>
      <c r="Q132" t="e">
        <v>#N/A</v>
      </c>
      <c r="R132">
        <v>132</v>
      </c>
      <c r="S132">
        <v>132</v>
      </c>
    </row>
    <row r="133" spans="16:19" x14ac:dyDescent="0.15">
      <c r="P133">
        <v>133</v>
      </c>
      <c r="Q133">
        <v>133</v>
      </c>
      <c r="R133" t="e">
        <v>#N/A</v>
      </c>
      <c r="S133">
        <v>133</v>
      </c>
    </row>
    <row r="134" spans="16:19" x14ac:dyDescent="0.15">
      <c r="P134">
        <v>134</v>
      </c>
      <c r="Q134" t="e">
        <v>#N/A</v>
      </c>
      <c r="R134">
        <v>134</v>
      </c>
      <c r="S134">
        <v>134</v>
      </c>
    </row>
    <row r="135" spans="16:19" x14ac:dyDescent="0.15">
      <c r="P135">
        <v>135</v>
      </c>
      <c r="Q135">
        <v>135</v>
      </c>
      <c r="R135">
        <v>135</v>
      </c>
      <c r="S135">
        <v>135</v>
      </c>
    </row>
    <row r="136" spans="16:19" x14ac:dyDescent="0.15">
      <c r="P136">
        <v>136</v>
      </c>
      <c r="Q136" t="e">
        <v>#N/A</v>
      </c>
      <c r="R136" t="e">
        <v>#N/A</v>
      </c>
      <c r="S136" t="b">
        <v>0</v>
      </c>
    </row>
    <row r="137" spans="16:19" x14ac:dyDescent="0.15">
      <c r="P137">
        <v>137</v>
      </c>
      <c r="Q137" t="e">
        <v>#N/A</v>
      </c>
      <c r="R137">
        <v>137</v>
      </c>
      <c r="S137">
        <v>137</v>
      </c>
    </row>
    <row r="138" spans="16:19" x14ac:dyDescent="0.15">
      <c r="P138">
        <v>138</v>
      </c>
      <c r="Q138" t="e">
        <v>#N/A</v>
      </c>
      <c r="R138">
        <v>138</v>
      </c>
      <c r="S138">
        <v>138</v>
      </c>
    </row>
    <row r="139" spans="16:19" x14ac:dyDescent="0.15">
      <c r="P139">
        <v>139</v>
      </c>
      <c r="Q139" t="e">
        <v>#N/A</v>
      </c>
      <c r="R139" t="e">
        <v>#N/A</v>
      </c>
      <c r="S139" t="b">
        <v>0</v>
      </c>
    </row>
    <row r="140" spans="16:19" x14ac:dyDescent="0.15">
      <c r="P140">
        <v>140</v>
      </c>
      <c r="Q140" t="e">
        <v>#N/A</v>
      </c>
      <c r="R140" t="e">
        <v>#N/A</v>
      </c>
      <c r="S140" t="b">
        <v>0</v>
      </c>
    </row>
    <row r="141" spans="16:19" x14ac:dyDescent="0.15">
      <c r="P141">
        <v>141</v>
      </c>
      <c r="Q141" t="e">
        <v>#N/A</v>
      </c>
      <c r="R141" t="e">
        <v>#N/A</v>
      </c>
      <c r="S141" t="b">
        <v>0</v>
      </c>
    </row>
    <row r="142" spans="16:19" x14ac:dyDescent="0.15">
      <c r="P142">
        <v>142</v>
      </c>
      <c r="Q142" t="e">
        <v>#N/A</v>
      </c>
      <c r="R142" t="e">
        <v>#N/A</v>
      </c>
      <c r="S142" t="b">
        <v>0</v>
      </c>
    </row>
    <row r="143" spans="16:19" x14ac:dyDescent="0.15">
      <c r="P143">
        <v>143</v>
      </c>
      <c r="Q143" t="e">
        <v>#N/A</v>
      </c>
      <c r="R143" t="e">
        <v>#N/A</v>
      </c>
      <c r="S143" t="b">
        <v>0</v>
      </c>
    </row>
    <row r="144" spans="16:19" x14ac:dyDescent="0.15">
      <c r="P144">
        <v>144</v>
      </c>
      <c r="Q144" t="e">
        <v>#N/A</v>
      </c>
      <c r="R144" t="e">
        <v>#N/A</v>
      </c>
      <c r="S144" t="b">
        <v>0</v>
      </c>
    </row>
    <row r="145" spans="16:19" x14ac:dyDescent="0.15">
      <c r="P145">
        <v>145</v>
      </c>
      <c r="Q145" t="e">
        <v>#N/A</v>
      </c>
      <c r="R145">
        <v>145</v>
      </c>
      <c r="S145">
        <v>145</v>
      </c>
    </row>
    <row r="146" spans="16:19" x14ac:dyDescent="0.15">
      <c r="P146">
        <v>146</v>
      </c>
      <c r="Q146" t="e">
        <v>#N/A</v>
      </c>
      <c r="R146">
        <v>146</v>
      </c>
      <c r="S146">
        <v>146</v>
      </c>
    </row>
    <row r="147" spans="16:19" x14ac:dyDescent="0.15">
      <c r="P147">
        <v>147</v>
      </c>
      <c r="Q147" t="e">
        <v>#N/A</v>
      </c>
      <c r="R147">
        <v>147</v>
      </c>
      <c r="S147">
        <v>147</v>
      </c>
    </row>
    <row r="148" spans="16:19" x14ac:dyDescent="0.15">
      <c r="P148">
        <v>148</v>
      </c>
      <c r="Q148" t="e">
        <v>#N/A</v>
      </c>
      <c r="R148" t="e">
        <v>#N/A</v>
      </c>
      <c r="S148" t="b">
        <v>0</v>
      </c>
    </row>
    <row r="149" spans="16:19" x14ac:dyDescent="0.15">
      <c r="P149">
        <v>149</v>
      </c>
      <c r="Q149" t="e">
        <v>#N/A</v>
      </c>
      <c r="R149">
        <v>149</v>
      </c>
      <c r="S149">
        <v>149</v>
      </c>
    </row>
    <row r="150" spans="16:19" x14ac:dyDescent="0.15">
      <c r="P150">
        <v>150</v>
      </c>
      <c r="Q150">
        <v>150</v>
      </c>
      <c r="R150">
        <v>150</v>
      </c>
      <c r="S150">
        <v>150</v>
      </c>
    </row>
  </sheetData>
  <mergeCells count="7">
    <mergeCell ref="A12:A14"/>
    <mergeCell ref="A15:A17"/>
    <mergeCell ref="A18:A20"/>
    <mergeCell ref="A21:A23"/>
    <mergeCell ref="A3:A5"/>
    <mergeCell ref="A6:A8"/>
    <mergeCell ref="A9:A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6E75-A98A-074A-8D10-EDE135CC0D1B}">
  <dimension ref="A1:I37"/>
  <sheetViews>
    <sheetView topLeftCell="T1" workbookViewId="0">
      <selection activeCell="L15" sqref="L15"/>
    </sheetView>
  </sheetViews>
  <sheetFormatPr baseColWidth="10" defaultRowHeight="13" x14ac:dyDescent="0.15"/>
  <sheetData>
    <row r="1" spans="1:9" ht="14" thickBot="1" x14ac:dyDescent="0.2">
      <c r="A1" s="218"/>
      <c r="B1" s="277" t="s">
        <v>420</v>
      </c>
      <c r="C1" s="278"/>
      <c r="D1" s="219" t="s">
        <v>38</v>
      </c>
      <c r="E1" s="279" t="s">
        <v>419</v>
      </c>
      <c r="F1" s="280"/>
      <c r="G1" s="275" t="s">
        <v>39</v>
      </c>
      <c r="H1" s="276"/>
      <c r="I1" s="219" t="s">
        <v>41</v>
      </c>
    </row>
    <row r="2" spans="1:9" x14ac:dyDescent="0.15">
      <c r="A2" s="266" t="s">
        <v>121</v>
      </c>
      <c r="B2" s="199"/>
      <c r="C2" s="199"/>
      <c r="D2" s="200"/>
      <c r="E2" s="199"/>
      <c r="F2" s="206"/>
      <c r="G2" s="11" t="s">
        <v>112</v>
      </c>
      <c r="H2" s="58"/>
      <c r="I2" s="65">
        <v>4</v>
      </c>
    </row>
    <row r="3" spans="1:9" x14ac:dyDescent="0.15">
      <c r="A3" s="267"/>
      <c r="B3" s="201"/>
      <c r="C3" s="201"/>
      <c r="D3" s="202"/>
      <c r="E3" s="201"/>
      <c r="F3" s="207"/>
      <c r="G3" s="9">
        <v>148</v>
      </c>
      <c r="H3" s="62"/>
      <c r="I3" s="64">
        <v>133</v>
      </c>
    </row>
    <row r="4" spans="1:9" ht="14" thickBot="1" x14ac:dyDescent="0.2">
      <c r="A4" s="268"/>
      <c r="B4" s="203"/>
      <c r="C4" s="204"/>
      <c r="D4" s="205"/>
      <c r="E4" s="203"/>
      <c r="F4" s="208"/>
      <c r="G4" s="8" t="s">
        <v>370</v>
      </c>
      <c r="H4" s="57"/>
      <c r="I4" s="195"/>
    </row>
    <row r="5" spans="1:9" x14ac:dyDescent="0.15">
      <c r="A5" s="266" t="s">
        <v>122</v>
      </c>
      <c r="B5" s="1">
        <v>67</v>
      </c>
      <c r="C5" s="213"/>
      <c r="D5" s="64">
        <v>92</v>
      </c>
      <c r="E5" s="1"/>
      <c r="F5" s="19"/>
      <c r="G5" s="9">
        <v>109</v>
      </c>
      <c r="H5" s="62"/>
      <c r="I5" s="64">
        <v>90</v>
      </c>
    </row>
    <row r="6" spans="1:9" x14ac:dyDescent="0.15">
      <c r="A6" s="267"/>
      <c r="B6" s="1">
        <v>67</v>
      </c>
      <c r="C6" s="213"/>
      <c r="D6" s="64" t="s">
        <v>421</v>
      </c>
      <c r="E6" s="1"/>
      <c r="F6" s="19"/>
      <c r="G6" s="9">
        <v>46</v>
      </c>
      <c r="H6" s="62"/>
      <c r="I6" s="64"/>
    </row>
    <row r="7" spans="1:9" ht="14" thickBot="1" x14ac:dyDescent="0.2">
      <c r="A7" s="268"/>
      <c r="B7" s="1">
        <v>67</v>
      </c>
      <c r="C7" s="214"/>
      <c r="D7" s="64">
        <v>150</v>
      </c>
      <c r="E7" s="1"/>
      <c r="F7" s="19"/>
      <c r="G7" s="9" t="s">
        <v>378</v>
      </c>
      <c r="H7" s="57"/>
      <c r="I7" s="64"/>
    </row>
    <row r="8" spans="1:9" x14ac:dyDescent="0.15">
      <c r="A8" s="266" t="s">
        <v>123</v>
      </c>
      <c r="B8" s="12">
        <v>8</v>
      </c>
      <c r="C8" s="12"/>
      <c r="D8" s="65">
        <v>32</v>
      </c>
      <c r="E8" s="12"/>
      <c r="F8" s="18"/>
      <c r="G8" s="11">
        <v>15</v>
      </c>
      <c r="H8" s="62"/>
      <c r="I8" s="65">
        <v>4</v>
      </c>
    </row>
    <row r="9" spans="1:9" x14ac:dyDescent="0.15">
      <c r="A9" s="267"/>
      <c r="B9" s="1" t="s">
        <v>106</v>
      </c>
      <c r="C9" s="1"/>
      <c r="D9" s="64" t="s">
        <v>422</v>
      </c>
      <c r="E9" s="1"/>
      <c r="F9" s="19"/>
      <c r="G9" s="9">
        <v>22</v>
      </c>
      <c r="H9" s="62"/>
      <c r="I9" s="64">
        <v>133</v>
      </c>
    </row>
    <row r="10" spans="1:9" ht="14" thickBot="1" x14ac:dyDescent="0.2">
      <c r="A10" s="268"/>
      <c r="B10" s="2">
        <v>23</v>
      </c>
      <c r="C10" s="6"/>
      <c r="D10" s="195">
        <v>99</v>
      </c>
      <c r="E10" s="2"/>
      <c r="F10" s="20"/>
      <c r="G10" s="8" t="s">
        <v>380</v>
      </c>
      <c r="H10" s="57"/>
      <c r="I10" s="195"/>
    </row>
    <row r="11" spans="1:9" x14ac:dyDescent="0.15">
      <c r="A11" s="266" t="s">
        <v>124</v>
      </c>
      <c r="B11" s="1">
        <v>26</v>
      </c>
      <c r="C11" s="212"/>
      <c r="D11" s="64">
        <v>56</v>
      </c>
      <c r="E11" s="1"/>
      <c r="F11" s="19"/>
      <c r="G11" s="9">
        <v>135</v>
      </c>
      <c r="H11" s="211"/>
      <c r="I11" s="64" t="s">
        <v>404</v>
      </c>
    </row>
    <row r="12" spans="1:9" x14ac:dyDescent="0.15">
      <c r="A12" s="267"/>
      <c r="B12" s="1">
        <v>26</v>
      </c>
      <c r="C12" s="212"/>
      <c r="D12" s="64" t="s">
        <v>423</v>
      </c>
      <c r="E12" s="1"/>
      <c r="F12" s="19"/>
      <c r="G12" s="9">
        <v>135</v>
      </c>
      <c r="H12" s="217"/>
      <c r="I12" s="64">
        <v>133</v>
      </c>
    </row>
    <row r="13" spans="1:9" ht="14" thickBot="1" x14ac:dyDescent="0.2">
      <c r="A13" s="268"/>
      <c r="B13" s="2">
        <v>28</v>
      </c>
      <c r="C13" s="6"/>
      <c r="D13" s="195">
        <v>145</v>
      </c>
      <c r="E13" s="2"/>
      <c r="F13" s="20"/>
      <c r="G13" s="8" t="s">
        <v>360</v>
      </c>
      <c r="H13" s="57"/>
      <c r="I13" s="195"/>
    </row>
    <row r="14" spans="1:9" x14ac:dyDescent="0.15">
      <c r="A14" s="266" t="s">
        <v>118</v>
      </c>
      <c r="B14" s="12">
        <v>41</v>
      </c>
      <c r="C14" s="12"/>
      <c r="D14" s="65">
        <v>92</v>
      </c>
      <c r="E14" s="12"/>
      <c r="F14" s="18"/>
      <c r="G14" s="11">
        <v>109</v>
      </c>
      <c r="H14" s="58"/>
      <c r="I14" s="65">
        <v>90</v>
      </c>
    </row>
    <row r="15" spans="1:9" x14ac:dyDescent="0.15">
      <c r="A15" s="267"/>
      <c r="B15" s="1">
        <v>102</v>
      </c>
      <c r="C15" s="1"/>
      <c r="D15" s="64" t="s">
        <v>421</v>
      </c>
      <c r="E15" s="1"/>
      <c r="F15" s="19"/>
      <c r="G15" s="9">
        <v>46</v>
      </c>
      <c r="H15" s="62"/>
      <c r="I15" s="64"/>
    </row>
    <row r="16" spans="1:9" ht="14" thickBot="1" x14ac:dyDescent="0.2">
      <c r="A16" s="268"/>
      <c r="B16" s="2">
        <v>102</v>
      </c>
      <c r="C16" s="6"/>
      <c r="D16" s="195">
        <v>150</v>
      </c>
      <c r="E16" s="2"/>
      <c r="F16" s="20"/>
      <c r="G16" s="8" t="s">
        <v>370</v>
      </c>
      <c r="H16" s="57"/>
      <c r="I16" s="195"/>
    </row>
    <row r="17" spans="1:9" x14ac:dyDescent="0.15">
      <c r="A17" s="266" t="s">
        <v>119</v>
      </c>
      <c r="B17" s="12">
        <v>35</v>
      </c>
      <c r="D17" s="65">
        <v>84</v>
      </c>
      <c r="E17" s="12"/>
      <c r="F17" s="18"/>
      <c r="G17" s="11">
        <v>114</v>
      </c>
      <c r="H17" s="58"/>
      <c r="I17" s="65">
        <v>4</v>
      </c>
    </row>
    <row r="18" spans="1:9" x14ac:dyDescent="0.15">
      <c r="A18" s="267"/>
      <c r="B18" s="1">
        <v>45</v>
      </c>
      <c r="D18" s="64" t="s">
        <v>352</v>
      </c>
      <c r="E18" s="1"/>
      <c r="F18" s="19"/>
      <c r="G18" s="9">
        <v>115</v>
      </c>
      <c r="H18" s="62"/>
      <c r="I18" s="64">
        <v>133</v>
      </c>
    </row>
    <row r="19" spans="1:9" ht="14" thickBot="1" x14ac:dyDescent="0.2">
      <c r="A19" s="268"/>
      <c r="B19" s="2">
        <v>47</v>
      </c>
      <c r="C19" s="6"/>
      <c r="D19" s="195">
        <v>146</v>
      </c>
      <c r="E19" s="2"/>
      <c r="F19" s="20"/>
      <c r="G19" s="8" t="s">
        <v>372</v>
      </c>
      <c r="H19" s="57"/>
      <c r="I19" s="195"/>
    </row>
    <row r="20" spans="1:9" x14ac:dyDescent="0.15">
      <c r="A20" s="266" t="s">
        <v>120</v>
      </c>
      <c r="B20" s="1">
        <v>64</v>
      </c>
      <c r="C20" s="45"/>
      <c r="D20" s="64">
        <v>86</v>
      </c>
      <c r="E20" s="1"/>
      <c r="F20" s="19"/>
      <c r="G20" s="9">
        <v>121</v>
      </c>
      <c r="H20" s="62"/>
      <c r="I20" s="64">
        <v>90</v>
      </c>
    </row>
    <row r="21" spans="1:9" x14ac:dyDescent="0.15">
      <c r="A21" s="267"/>
      <c r="B21" s="1">
        <v>144</v>
      </c>
      <c r="C21" s="213"/>
      <c r="D21" s="64" t="s">
        <v>357</v>
      </c>
      <c r="E21" s="1"/>
      <c r="F21" s="19"/>
      <c r="G21" s="9">
        <v>125</v>
      </c>
      <c r="H21" s="62"/>
      <c r="I21" s="64"/>
    </row>
    <row r="22" spans="1:9" ht="14" thickBot="1" x14ac:dyDescent="0.2">
      <c r="A22" s="268"/>
      <c r="B22" s="1">
        <v>144</v>
      </c>
      <c r="C22" s="7"/>
      <c r="D22" s="64">
        <v>147</v>
      </c>
      <c r="E22" s="1"/>
      <c r="F22" s="19"/>
      <c r="G22" s="9" t="s">
        <v>374</v>
      </c>
      <c r="H22" s="62"/>
      <c r="I22" s="64"/>
    </row>
    <row r="23" spans="1:9" x14ac:dyDescent="0.15">
      <c r="A23" s="266" t="s">
        <v>121</v>
      </c>
      <c r="B23" s="12">
        <v>8</v>
      </c>
      <c r="C23" s="12"/>
      <c r="D23" s="65">
        <v>32</v>
      </c>
      <c r="E23" s="12"/>
      <c r="F23" s="18"/>
      <c r="G23" s="11">
        <v>15</v>
      </c>
      <c r="H23" s="58"/>
      <c r="I23" s="65">
        <v>4</v>
      </c>
    </row>
    <row r="24" spans="1:9" x14ac:dyDescent="0.15">
      <c r="A24" s="267"/>
      <c r="B24" s="1" t="s">
        <v>106</v>
      </c>
      <c r="C24" s="1"/>
      <c r="D24" s="64" t="s">
        <v>422</v>
      </c>
      <c r="E24" s="1"/>
      <c r="F24" s="19"/>
      <c r="G24" s="9">
        <v>22</v>
      </c>
      <c r="H24" s="62"/>
      <c r="I24" s="64">
        <v>133</v>
      </c>
    </row>
    <row r="25" spans="1:9" ht="14" thickBot="1" x14ac:dyDescent="0.2">
      <c r="A25" s="268"/>
      <c r="B25" s="2">
        <v>23</v>
      </c>
      <c r="C25" s="6"/>
      <c r="D25" s="195">
        <v>99</v>
      </c>
      <c r="E25" s="2"/>
      <c r="F25" s="20"/>
      <c r="G25" s="8" t="s">
        <v>376</v>
      </c>
      <c r="H25" s="57"/>
      <c r="I25" s="195"/>
    </row>
    <row r="26" spans="1:9" x14ac:dyDescent="0.15">
      <c r="A26" s="266" t="s">
        <v>122</v>
      </c>
      <c r="B26" s="1">
        <v>26</v>
      </c>
      <c r="C26" s="212"/>
      <c r="D26" s="64">
        <v>56</v>
      </c>
      <c r="E26" s="1"/>
      <c r="F26" s="19"/>
      <c r="G26" s="9">
        <v>44</v>
      </c>
      <c r="H26" s="209"/>
      <c r="I26" s="64">
        <v>90</v>
      </c>
    </row>
    <row r="27" spans="1:9" x14ac:dyDescent="0.15">
      <c r="A27" s="267"/>
      <c r="B27" s="1">
        <v>26</v>
      </c>
      <c r="C27" s="212"/>
      <c r="D27" s="64" t="s">
        <v>423</v>
      </c>
      <c r="E27" s="1"/>
      <c r="F27" s="19"/>
      <c r="G27" s="9">
        <v>44</v>
      </c>
      <c r="H27" s="209"/>
      <c r="I27" s="64"/>
    </row>
    <row r="28" spans="1:9" ht="14" thickBot="1" x14ac:dyDescent="0.2">
      <c r="A28" s="268"/>
      <c r="B28" s="2">
        <v>28</v>
      </c>
      <c r="C28" s="6"/>
      <c r="D28" s="64">
        <v>145</v>
      </c>
      <c r="E28" s="1"/>
      <c r="F28" s="19"/>
      <c r="G28" s="9" t="s">
        <v>378</v>
      </c>
      <c r="H28" s="57"/>
      <c r="I28" s="64"/>
    </row>
    <row r="29" spans="1:9" x14ac:dyDescent="0.15">
      <c r="A29" s="266" t="s">
        <v>123</v>
      </c>
      <c r="B29" s="12">
        <v>35</v>
      </c>
      <c r="D29" s="65">
        <v>84</v>
      </c>
      <c r="E29" s="12"/>
      <c r="F29" s="18"/>
      <c r="G29" s="11">
        <v>114</v>
      </c>
      <c r="H29" s="62"/>
      <c r="I29" s="65">
        <v>4</v>
      </c>
    </row>
    <row r="30" spans="1:9" x14ac:dyDescent="0.15">
      <c r="A30" s="267"/>
      <c r="B30" s="1">
        <v>45</v>
      </c>
      <c r="D30" s="64" t="s">
        <v>352</v>
      </c>
      <c r="E30" s="1"/>
      <c r="F30" s="19"/>
      <c r="G30" s="9">
        <v>115</v>
      </c>
      <c r="H30" s="62"/>
      <c r="I30" s="64">
        <v>133</v>
      </c>
    </row>
    <row r="31" spans="1:9" ht="14" thickBot="1" x14ac:dyDescent="0.2">
      <c r="A31" s="268"/>
      <c r="B31" s="2">
        <v>47</v>
      </c>
      <c r="C31" s="6"/>
      <c r="D31" s="195">
        <v>146</v>
      </c>
      <c r="E31" s="2"/>
      <c r="F31" s="20"/>
      <c r="G31" s="8" t="s">
        <v>380</v>
      </c>
      <c r="H31" s="57"/>
      <c r="I31" s="195"/>
    </row>
    <row r="32" spans="1:9" x14ac:dyDescent="0.15">
      <c r="A32" s="266" t="s">
        <v>124</v>
      </c>
      <c r="B32" s="1">
        <v>64</v>
      </c>
      <c r="C32" s="45"/>
      <c r="D32" s="64">
        <v>86</v>
      </c>
      <c r="E32" s="1"/>
      <c r="F32" s="19"/>
      <c r="G32" s="9">
        <v>116</v>
      </c>
      <c r="H32" s="62"/>
      <c r="I32" s="64" t="s">
        <v>404</v>
      </c>
    </row>
    <row r="33" spans="1:9" x14ac:dyDescent="0.15">
      <c r="A33" s="267"/>
      <c r="B33" s="1">
        <v>144</v>
      </c>
      <c r="C33" s="213"/>
      <c r="D33" s="64" t="s">
        <v>357</v>
      </c>
      <c r="E33" s="1"/>
      <c r="F33" s="19"/>
      <c r="G33" s="9">
        <v>146</v>
      </c>
      <c r="H33" s="10"/>
      <c r="I33" s="64">
        <v>133</v>
      </c>
    </row>
    <row r="34" spans="1:9" ht="14" thickBot="1" x14ac:dyDescent="0.2">
      <c r="A34" s="268"/>
      <c r="B34" s="1">
        <v>144</v>
      </c>
      <c r="C34" s="214"/>
      <c r="D34" s="195">
        <v>147</v>
      </c>
      <c r="E34" s="2"/>
      <c r="F34" s="20"/>
      <c r="G34" s="8" t="s">
        <v>380</v>
      </c>
      <c r="H34" s="57"/>
      <c r="I34" s="195"/>
    </row>
    <row r="35" spans="1:9" x14ac:dyDescent="0.15">
      <c r="A35" s="266" t="s">
        <v>118</v>
      </c>
      <c r="B35" s="12">
        <v>103</v>
      </c>
      <c r="C35" s="215"/>
      <c r="D35" s="65">
        <v>92</v>
      </c>
      <c r="E35" s="12"/>
      <c r="F35" s="18"/>
      <c r="G35" s="11">
        <v>135</v>
      </c>
      <c r="H35" s="210"/>
      <c r="I35" s="65">
        <v>90</v>
      </c>
    </row>
    <row r="36" spans="1:9" x14ac:dyDescent="0.15">
      <c r="A36" s="267"/>
      <c r="B36" s="1">
        <v>103</v>
      </c>
      <c r="C36" s="212"/>
      <c r="D36" s="64" t="s">
        <v>332</v>
      </c>
      <c r="E36" s="1"/>
      <c r="F36" s="19"/>
      <c r="G36" s="9">
        <v>135</v>
      </c>
      <c r="H36" s="211"/>
      <c r="I36" s="64"/>
    </row>
    <row r="37" spans="1:9" ht="14" thickBot="1" x14ac:dyDescent="0.2">
      <c r="A37" s="268"/>
      <c r="B37" s="2">
        <v>103</v>
      </c>
      <c r="C37" s="216"/>
      <c r="D37" s="195">
        <v>148</v>
      </c>
      <c r="E37" s="2"/>
      <c r="F37" s="20"/>
      <c r="G37" s="8" t="s">
        <v>380</v>
      </c>
      <c r="H37" s="57"/>
      <c r="I37" s="195"/>
    </row>
  </sheetData>
  <mergeCells count="15">
    <mergeCell ref="A35:A37"/>
    <mergeCell ref="A23:A25"/>
    <mergeCell ref="A26:A28"/>
    <mergeCell ref="A29:A31"/>
    <mergeCell ref="A32:A34"/>
    <mergeCell ref="A17:A19"/>
    <mergeCell ref="A20:A22"/>
    <mergeCell ref="G1:H1"/>
    <mergeCell ref="B1:C1"/>
    <mergeCell ref="E1:F1"/>
    <mergeCell ref="A2:A4"/>
    <mergeCell ref="A5:A7"/>
    <mergeCell ref="A8:A10"/>
    <mergeCell ref="A11:A13"/>
    <mergeCell ref="A14:A16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8"/>
  <sheetViews>
    <sheetView workbookViewId="0">
      <selection activeCell="H3" sqref="H3"/>
    </sheetView>
  </sheetViews>
  <sheetFormatPr baseColWidth="10" defaultRowHeight="13" x14ac:dyDescent="0.15"/>
  <cols>
    <col min="2" max="35" width="4.5" customWidth="1"/>
  </cols>
  <sheetData>
    <row r="1" spans="1:35" ht="14" thickBot="1" x14ac:dyDescent="0.2">
      <c r="A1" s="68"/>
      <c r="B1" s="281" t="s">
        <v>241</v>
      </c>
      <c r="C1" s="282"/>
      <c r="D1" s="283"/>
      <c r="E1" s="281" t="s">
        <v>242</v>
      </c>
      <c r="F1" s="282"/>
      <c r="G1" s="283"/>
      <c r="H1" s="281" t="s">
        <v>243</v>
      </c>
      <c r="I1" s="282"/>
      <c r="J1" s="283"/>
      <c r="K1" s="281" t="s">
        <v>177</v>
      </c>
      <c r="L1" s="282"/>
      <c r="M1" s="282"/>
      <c r="N1" s="282"/>
      <c r="O1" s="283"/>
      <c r="P1" s="281" t="s">
        <v>244</v>
      </c>
      <c r="Q1" s="282"/>
      <c r="R1" s="283"/>
      <c r="S1" s="281" t="s">
        <v>114</v>
      </c>
      <c r="T1" s="282"/>
      <c r="U1" s="283"/>
      <c r="V1" s="281" t="s">
        <v>115</v>
      </c>
      <c r="W1" s="282"/>
      <c r="X1" s="283"/>
      <c r="Y1" s="281" t="s">
        <v>116</v>
      </c>
      <c r="Z1" s="282"/>
      <c r="AA1" s="283"/>
      <c r="AB1" s="281" t="s">
        <v>394</v>
      </c>
      <c r="AC1" s="282"/>
      <c r="AD1" s="282"/>
      <c r="AE1" s="282"/>
      <c r="AF1" s="283"/>
      <c r="AG1" s="281" t="s">
        <v>117</v>
      </c>
      <c r="AH1" s="282"/>
      <c r="AI1" s="283"/>
    </row>
    <row r="2" spans="1:35" x14ac:dyDescent="0.15">
      <c r="A2" s="69" t="s">
        <v>118</v>
      </c>
      <c r="B2" s="101">
        <v>1</v>
      </c>
      <c r="C2" s="102">
        <v>2</v>
      </c>
      <c r="D2" s="103">
        <v>3</v>
      </c>
      <c r="E2" s="104">
        <v>8</v>
      </c>
      <c r="F2" s="105">
        <v>9</v>
      </c>
      <c r="G2" s="106">
        <v>9</v>
      </c>
      <c r="H2" s="107">
        <v>9</v>
      </c>
      <c r="I2" s="105">
        <v>9</v>
      </c>
      <c r="J2" s="108">
        <v>10</v>
      </c>
      <c r="K2" s="104">
        <v>92</v>
      </c>
      <c r="L2" s="109">
        <v>99</v>
      </c>
      <c r="M2" s="105">
        <v>62</v>
      </c>
      <c r="N2" s="105"/>
      <c r="O2" s="110">
        <v>148</v>
      </c>
      <c r="P2" s="111">
        <v>117</v>
      </c>
      <c r="Q2" s="112">
        <v>118</v>
      </c>
      <c r="R2" s="113">
        <v>118</v>
      </c>
      <c r="S2" s="114">
        <v>118</v>
      </c>
      <c r="T2" s="112">
        <v>118</v>
      </c>
      <c r="U2" s="115">
        <v>118</v>
      </c>
      <c r="V2" s="114">
        <v>118</v>
      </c>
      <c r="W2" s="112">
        <v>118</v>
      </c>
      <c r="X2" s="115">
        <v>118</v>
      </c>
      <c r="Y2" s="114">
        <v>118</v>
      </c>
      <c r="Z2" s="112">
        <v>118</v>
      </c>
      <c r="AA2" s="115">
        <v>118</v>
      </c>
      <c r="AB2" s="116">
        <v>109</v>
      </c>
      <c r="AC2" s="117">
        <v>110</v>
      </c>
      <c r="AD2" s="117">
        <v>111</v>
      </c>
      <c r="AE2" s="117">
        <v>112</v>
      </c>
      <c r="AF2" s="118">
        <v>113</v>
      </c>
      <c r="AG2" s="119">
        <v>4</v>
      </c>
      <c r="AH2" s="120">
        <v>90</v>
      </c>
      <c r="AI2" s="121">
        <v>133</v>
      </c>
    </row>
    <row r="3" spans="1:35" x14ac:dyDescent="0.15">
      <c r="A3" s="70" t="s">
        <v>119</v>
      </c>
      <c r="B3" s="122">
        <v>13</v>
      </c>
      <c r="C3" s="123">
        <v>14</v>
      </c>
      <c r="D3" s="124">
        <v>16</v>
      </c>
      <c r="E3" s="125">
        <v>17</v>
      </c>
      <c r="F3" s="126">
        <v>17</v>
      </c>
      <c r="G3" s="127">
        <v>17</v>
      </c>
      <c r="H3" s="122">
        <v>19</v>
      </c>
      <c r="I3" s="123">
        <v>20</v>
      </c>
      <c r="J3" s="128">
        <v>29</v>
      </c>
      <c r="K3" s="129">
        <v>46</v>
      </c>
      <c r="L3" s="130">
        <v>5</v>
      </c>
      <c r="M3" s="130">
        <v>28</v>
      </c>
      <c r="N3" s="123"/>
      <c r="O3" s="131">
        <v>116</v>
      </c>
      <c r="P3" s="132">
        <v>23</v>
      </c>
      <c r="Q3" s="130">
        <v>18</v>
      </c>
      <c r="R3" s="133">
        <v>18</v>
      </c>
      <c r="S3" s="134">
        <v>26</v>
      </c>
      <c r="T3" s="135">
        <v>26</v>
      </c>
      <c r="U3" s="124">
        <v>27</v>
      </c>
      <c r="V3" s="122">
        <v>30</v>
      </c>
      <c r="W3" s="123">
        <v>30</v>
      </c>
      <c r="X3" s="133">
        <v>30</v>
      </c>
      <c r="Y3" s="134">
        <v>31</v>
      </c>
      <c r="Z3" s="130">
        <v>32</v>
      </c>
      <c r="AA3" s="131">
        <v>32</v>
      </c>
      <c r="AB3" s="136">
        <v>114</v>
      </c>
      <c r="AC3" s="135">
        <v>115</v>
      </c>
      <c r="AD3" s="135">
        <v>119</v>
      </c>
      <c r="AE3" s="135">
        <v>120</v>
      </c>
      <c r="AF3" s="137">
        <v>121</v>
      </c>
      <c r="AG3" s="138">
        <v>6</v>
      </c>
      <c r="AH3" s="123">
        <v>7</v>
      </c>
      <c r="AI3" s="124">
        <v>7</v>
      </c>
    </row>
    <row r="4" spans="1:35" x14ac:dyDescent="0.15">
      <c r="A4" s="70" t="s">
        <v>120</v>
      </c>
      <c r="B4" s="122">
        <v>34</v>
      </c>
      <c r="C4" s="123">
        <v>34</v>
      </c>
      <c r="D4" s="124">
        <v>34</v>
      </c>
      <c r="E4" s="138">
        <v>36</v>
      </c>
      <c r="F4" s="123">
        <v>36</v>
      </c>
      <c r="G4" s="124">
        <v>36</v>
      </c>
      <c r="H4" s="122">
        <v>37</v>
      </c>
      <c r="I4" s="123">
        <v>37</v>
      </c>
      <c r="J4" s="133">
        <v>38</v>
      </c>
      <c r="K4" s="129">
        <v>95</v>
      </c>
      <c r="L4" s="123">
        <v>42</v>
      </c>
      <c r="M4" s="130">
        <v>66</v>
      </c>
      <c r="N4" s="123"/>
      <c r="O4" s="131">
        <v>134</v>
      </c>
      <c r="P4" s="136">
        <v>24</v>
      </c>
      <c r="Q4" s="135">
        <v>24</v>
      </c>
      <c r="R4" s="137">
        <v>24</v>
      </c>
      <c r="S4" s="138">
        <v>39</v>
      </c>
      <c r="T4" s="123">
        <v>39</v>
      </c>
      <c r="U4" s="124">
        <v>39</v>
      </c>
      <c r="V4" s="136">
        <v>40</v>
      </c>
      <c r="W4" s="123">
        <v>41</v>
      </c>
      <c r="X4" s="133">
        <v>41</v>
      </c>
      <c r="Y4" s="138">
        <v>43</v>
      </c>
      <c r="Z4" s="123">
        <v>43</v>
      </c>
      <c r="AA4" s="124">
        <v>43</v>
      </c>
      <c r="AB4" s="136">
        <v>122</v>
      </c>
      <c r="AC4" s="135">
        <v>123</v>
      </c>
      <c r="AD4" s="135">
        <v>124</v>
      </c>
      <c r="AE4" s="135">
        <v>125</v>
      </c>
      <c r="AF4" s="137">
        <v>126</v>
      </c>
      <c r="AG4" s="138">
        <v>11</v>
      </c>
      <c r="AH4" s="126">
        <v>12</v>
      </c>
      <c r="AI4" s="127">
        <v>15</v>
      </c>
    </row>
    <row r="5" spans="1:35" x14ac:dyDescent="0.15">
      <c r="A5" s="70" t="s">
        <v>121</v>
      </c>
      <c r="B5" s="122">
        <v>44</v>
      </c>
      <c r="C5" s="123">
        <v>44</v>
      </c>
      <c r="D5" s="131">
        <v>45</v>
      </c>
      <c r="E5" s="129">
        <v>47</v>
      </c>
      <c r="F5" s="123">
        <v>48</v>
      </c>
      <c r="G5" s="124">
        <v>48</v>
      </c>
      <c r="H5" s="132">
        <v>49</v>
      </c>
      <c r="I5" s="126">
        <v>49</v>
      </c>
      <c r="J5" s="139">
        <v>50</v>
      </c>
      <c r="K5" s="129">
        <v>96</v>
      </c>
      <c r="L5" s="130">
        <v>64</v>
      </c>
      <c r="M5" s="123">
        <v>100</v>
      </c>
      <c r="N5" s="123"/>
      <c r="O5" s="131">
        <v>145</v>
      </c>
      <c r="P5" s="122">
        <v>25</v>
      </c>
      <c r="Q5" s="123">
        <v>51</v>
      </c>
      <c r="R5" s="133">
        <v>52</v>
      </c>
      <c r="S5" s="138">
        <v>53</v>
      </c>
      <c r="T5" s="123">
        <v>54</v>
      </c>
      <c r="U5" s="124">
        <v>54</v>
      </c>
      <c r="V5" s="122">
        <v>55</v>
      </c>
      <c r="W5" s="130">
        <v>56</v>
      </c>
      <c r="X5" s="133">
        <v>57</v>
      </c>
      <c r="Y5" s="138">
        <v>58</v>
      </c>
      <c r="Z5" s="123">
        <v>58</v>
      </c>
      <c r="AA5" s="124">
        <v>59</v>
      </c>
      <c r="AB5" s="136">
        <v>127</v>
      </c>
      <c r="AC5" s="135">
        <v>128</v>
      </c>
      <c r="AD5" s="135">
        <v>129</v>
      </c>
      <c r="AE5" s="135">
        <v>130</v>
      </c>
      <c r="AF5" s="137">
        <v>131</v>
      </c>
      <c r="AG5" s="138">
        <v>33</v>
      </c>
      <c r="AH5" s="123">
        <v>33</v>
      </c>
      <c r="AI5" s="124">
        <v>60</v>
      </c>
    </row>
    <row r="6" spans="1:35" x14ac:dyDescent="0.15">
      <c r="A6" s="70" t="s">
        <v>122</v>
      </c>
      <c r="B6" s="122">
        <v>61</v>
      </c>
      <c r="C6" s="126">
        <v>65</v>
      </c>
      <c r="D6" s="127">
        <v>65</v>
      </c>
      <c r="E6" s="125">
        <v>67</v>
      </c>
      <c r="F6" s="126">
        <v>67</v>
      </c>
      <c r="G6" s="127">
        <v>67</v>
      </c>
      <c r="H6" s="122">
        <v>68</v>
      </c>
      <c r="I6" s="123">
        <v>68</v>
      </c>
      <c r="J6" s="133">
        <v>68</v>
      </c>
      <c r="K6" s="129">
        <v>97</v>
      </c>
      <c r="L6" s="130">
        <v>89</v>
      </c>
      <c r="M6" s="130">
        <v>35</v>
      </c>
      <c r="N6" s="123"/>
      <c r="O6" s="131">
        <v>146</v>
      </c>
      <c r="P6" s="122">
        <v>22</v>
      </c>
      <c r="Q6" s="135">
        <v>71</v>
      </c>
      <c r="R6" s="137">
        <v>71</v>
      </c>
      <c r="S6" s="138">
        <v>72</v>
      </c>
      <c r="T6" s="123">
        <v>72</v>
      </c>
      <c r="U6" s="124">
        <v>72</v>
      </c>
      <c r="V6" s="122">
        <v>73</v>
      </c>
      <c r="W6" s="123">
        <v>73</v>
      </c>
      <c r="X6" s="133">
        <v>73</v>
      </c>
      <c r="Y6" s="138">
        <v>74</v>
      </c>
      <c r="Z6" s="126">
        <v>75</v>
      </c>
      <c r="AA6" s="127">
        <v>75</v>
      </c>
      <c r="AB6" s="136">
        <v>132</v>
      </c>
      <c r="AC6" s="135">
        <v>135</v>
      </c>
      <c r="AD6" s="135">
        <v>135</v>
      </c>
      <c r="AE6" s="135">
        <v>136</v>
      </c>
      <c r="AF6" s="137">
        <v>137</v>
      </c>
      <c r="AG6" s="129">
        <v>69</v>
      </c>
      <c r="AH6" s="123">
        <v>70</v>
      </c>
      <c r="AI6" s="124">
        <v>70</v>
      </c>
    </row>
    <row r="7" spans="1:35" x14ac:dyDescent="0.15">
      <c r="A7" s="70" t="s">
        <v>123</v>
      </c>
      <c r="B7" s="122">
        <v>77</v>
      </c>
      <c r="C7" s="123">
        <v>77</v>
      </c>
      <c r="D7" s="124">
        <v>77</v>
      </c>
      <c r="E7" s="138">
        <v>77</v>
      </c>
      <c r="F7" s="123">
        <v>77</v>
      </c>
      <c r="G7" s="124">
        <v>77</v>
      </c>
      <c r="H7" s="122">
        <v>78</v>
      </c>
      <c r="I7" s="123">
        <v>80</v>
      </c>
      <c r="J7" s="133">
        <v>82</v>
      </c>
      <c r="K7" s="129">
        <v>98</v>
      </c>
      <c r="L7" s="135">
        <v>142</v>
      </c>
      <c r="M7" s="130">
        <v>84</v>
      </c>
      <c r="N7" s="123"/>
      <c r="O7" s="131">
        <v>147</v>
      </c>
      <c r="P7" s="140">
        <v>21</v>
      </c>
      <c r="Q7" s="141">
        <v>21</v>
      </c>
      <c r="R7" s="142">
        <v>21</v>
      </c>
      <c r="S7" s="129">
        <v>79</v>
      </c>
      <c r="T7" s="130">
        <v>79</v>
      </c>
      <c r="U7" s="124">
        <v>81</v>
      </c>
      <c r="V7" s="143">
        <v>83</v>
      </c>
      <c r="W7" s="130">
        <v>83</v>
      </c>
      <c r="X7" s="139">
        <v>86</v>
      </c>
      <c r="Y7" s="125">
        <v>88</v>
      </c>
      <c r="Z7" s="126">
        <v>88</v>
      </c>
      <c r="AA7" s="127">
        <v>88</v>
      </c>
      <c r="AB7" s="136">
        <v>138</v>
      </c>
      <c r="AC7" s="135">
        <v>138</v>
      </c>
      <c r="AD7" s="135">
        <v>139</v>
      </c>
      <c r="AE7" s="144">
        <v>140</v>
      </c>
      <c r="AF7" s="137">
        <v>141</v>
      </c>
      <c r="AG7" s="134">
        <v>76</v>
      </c>
      <c r="AH7" s="135">
        <v>76</v>
      </c>
      <c r="AI7" s="131">
        <v>85</v>
      </c>
    </row>
    <row r="8" spans="1:35" ht="14" thickBot="1" x14ac:dyDescent="0.2">
      <c r="A8" s="71" t="s">
        <v>124</v>
      </c>
      <c r="B8" s="90">
        <v>104</v>
      </c>
      <c r="C8" s="145">
        <v>104</v>
      </c>
      <c r="D8" s="146">
        <v>104</v>
      </c>
      <c r="E8" s="147">
        <v>105</v>
      </c>
      <c r="F8" s="145">
        <v>105</v>
      </c>
      <c r="G8" s="146">
        <v>105</v>
      </c>
      <c r="H8" s="90">
        <v>106</v>
      </c>
      <c r="I8" s="145">
        <v>106</v>
      </c>
      <c r="J8" s="148">
        <v>106</v>
      </c>
      <c r="K8" s="149">
        <v>149</v>
      </c>
      <c r="L8" s="150">
        <v>91</v>
      </c>
      <c r="M8" s="145">
        <v>63</v>
      </c>
      <c r="N8" s="145"/>
      <c r="O8" s="151">
        <v>148</v>
      </c>
      <c r="P8" s="90">
        <v>93</v>
      </c>
      <c r="Q8" s="145">
        <v>93</v>
      </c>
      <c r="R8" s="152">
        <v>107</v>
      </c>
      <c r="S8" s="147">
        <v>101</v>
      </c>
      <c r="T8" s="145">
        <v>101</v>
      </c>
      <c r="U8" s="146">
        <v>101</v>
      </c>
      <c r="V8" s="153">
        <v>103</v>
      </c>
      <c r="W8" s="154">
        <v>103</v>
      </c>
      <c r="X8" s="155">
        <v>103</v>
      </c>
      <c r="Y8" s="147">
        <v>108</v>
      </c>
      <c r="Z8" s="145">
        <v>108</v>
      </c>
      <c r="AA8" s="146">
        <v>108</v>
      </c>
      <c r="AB8" s="156">
        <v>143</v>
      </c>
      <c r="AC8" s="157">
        <v>143</v>
      </c>
      <c r="AD8" s="157">
        <v>144</v>
      </c>
      <c r="AE8" s="157">
        <v>144</v>
      </c>
      <c r="AF8" s="158">
        <v>144</v>
      </c>
      <c r="AG8" s="147">
        <v>87</v>
      </c>
      <c r="AH8" s="145">
        <v>102</v>
      </c>
      <c r="AI8" s="146">
        <v>102</v>
      </c>
    </row>
  </sheetData>
  <mergeCells count="10">
    <mergeCell ref="B1:D1"/>
    <mergeCell ref="E1:G1"/>
    <mergeCell ref="H1:J1"/>
    <mergeCell ref="K1:O1"/>
    <mergeCell ref="P1:R1"/>
    <mergeCell ref="S1:U1"/>
    <mergeCell ref="V1:X1"/>
    <mergeCell ref="Y1:AA1"/>
    <mergeCell ref="AB1:AF1"/>
    <mergeCell ref="AG1:AI1"/>
  </mergeCells>
  <phoneticPr fontId="1" type="noConversion"/>
  <pageMargins left="0.75000000000000011" right="0.75000000000000011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8"/>
  <sheetViews>
    <sheetView workbookViewId="0">
      <selection activeCell="D25" sqref="D25"/>
    </sheetView>
  </sheetViews>
  <sheetFormatPr baseColWidth="10" defaultRowHeight="13" x14ac:dyDescent="0.15"/>
  <cols>
    <col min="2" max="35" width="4.5" customWidth="1"/>
  </cols>
  <sheetData>
    <row r="1" spans="1:21" ht="14" thickBot="1" x14ac:dyDescent="0.2">
      <c r="A1" s="68"/>
      <c r="B1" s="281" t="s">
        <v>241</v>
      </c>
      <c r="C1" s="282"/>
      <c r="D1" s="283"/>
      <c r="E1" s="281" t="s">
        <v>242</v>
      </c>
      <c r="F1" s="282"/>
      <c r="G1" s="283"/>
      <c r="H1" s="281" t="s">
        <v>243</v>
      </c>
      <c r="I1" s="282"/>
      <c r="J1" s="283"/>
      <c r="K1" s="281" t="s">
        <v>177</v>
      </c>
      <c r="L1" s="282"/>
      <c r="M1" s="282"/>
      <c r="N1" s="282"/>
      <c r="O1" s="283"/>
    </row>
    <row r="2" spans="1:21" x14ac:dyDescent="0.15">
      <c r="A2" s="69" t="s">
        <v>118</v>
      </c>
      <c r="B2" s="101">
        <v>1</v>
      </c>
      <c r="C2" s="102">
        <v>2</v>
      </c>
      <c r="D2" s="103">
        <v>3</v>
      </c>
      <c r="E2" s="104">
        <v>8</v>
      </c>
      <c r="F2" s="105">
        <v>9</v>
      </c>
      <c r="G2" s="106">
        <v>9</v>
      </c>
      <c r="H2" s="107">
        <v>9</v>
      </c>
      <c r="I2" s="105">
        <v>9</v>
      </c>
      <c r="J2" s="108">
        <v>10</v>
      </c>
      <c r="K2" s="104">
        <v>92</v>
      </c>
      <c r="L2" s="109">
        <v>99</v>
      </c>
      <c r="M2" s="105">
        <v>62</v>
      </c>
      <c r="N2" s="105"/>
      <c r="O2" s="110">
        <v>148</v>
      </c>
    </row>
    <row r="3" spans="1:21" x14ac:dyDescent="0.15">
      <c r="A3" s="70" t="s">
        <v>119</v>
      </c>
      <c r="B3" s="122">
        <v>13</v>
      </c>
      <c r="C3" s="123">
        <v>14</v>
      </c>
      <c r="D3" s="124">
        <v>16</v>
      </c>
      <c r="E3" s="125">
        <v>17</v>
      </c>
      <c r="F3" s="126">
        <v>17</v>
      </c>
      <c r="G3" s="127">
        <v>17</v>
      </c>
      <c r="H3" s="122">
        <v>19</v>
      </c>
      <c r="I3" s="123">
        <v>20</v>
      </c>
      <c r="J3" s="128">
        <v>29</v>
      </c>
      <c r="K3" s="129">
        <v>46</v>
      </c>
      <c r="L3" s="130">
        <v>5</v>
      </c>
      <c r="M3" s="130">
        <v>28</v>
      </c>
      <c r="N3" s="123"/>
      <c r="O3" s="131">
        <v>116</v>
      </c>
    </row>
    <row r="4" spans="1:21" x14ac:dyDescent="0.15">
      <c r="A4" s="70" t="s">
        <v>120</v>
      </c>
      <c r="B4" s="122">
        <v>34</v>
      </c>
      <c r="C4" s="123">
        <v>34</v>
      </c>
      <c r="D4" s="124">
        <v>34</v>
      </c>
      <c r="E4" s="138">
        <v>36</v>
      </c>
      <c r="F4" s="123">
        <v>36</v>
      </c>
      <c r="G4" s="124">
        <v>36</v>
      </c>
      <c r="H4" s="122">
        <v>37</v>
      </c>
      <c r="I4" s="123">
        <v>37</v>
      </c>
      <c r="J4" s="133">
        <v>38</v>
      </c>
      <c r="K4" s="129">
        <v>95</v>
      </c>
      <c r="L4" s="123">
        <v>42</v>
      </c>
      <c r="M4" s="130">
        <v>66</v>
      </c>
      <c r="N4" s="123"/>
      <c r="O4" s="131">
        <v>134</v>
      </c>
    </row>
    <row r="5" spans="1:21" x14ac:dyDescent="0.15">
      <c r="A5" s="70" t="s">
        <v>121</v>
      </c>
      <c r="B5" s="122">
        <v>44</v>
      </c>
      <c r="C5" s="123">
        <v>44</v>
      </c>
      <c r="D5" s="131">
        <v>45</v>
      </c>
      <c r="E5" s="129">
        <v>47</v>
      </c>
      <c r="F5" s="123">
        <v>48</v>
      </c>
      <c r="G5" s="124">
        <v>48</v>
      </c>
      <c r="H5" s="132">
        <v>49</v>
      </c>
      <c r="I5" s="126">
        <v>49</v>
      </c>
      <c r="J5" s="139">
        <v>50</v>
      </c>
      <c r="K5" s="129">
        <v>96</v>
      </c>
      <c r="L5" s="130">
        <v>64</v>
      </c>
      <c r="M5" s="123">
        <v>100</v>
      </c>
      <c r="N5" s="123"/>
      <c r="O5" s="131">
        <v>145</v>
      </c>
    </row>
    <row r="6" spans="1:21" x14ac:dyDescent="0.15">
      <c r="A6" s="70" t="s">
        <v>122</v>
      </c>
      <c r="B6" s="122">
        <v>61</v>
      </c>
      <c r="C6" s="126">
        <v>65</v>
      </c>
      <c r="D6" s="127">
        <v>65</v>
      </c>
      <c r="E6" s="125">
        <v>67</v>
      </c>
      <c r="F6" s="126">
        <v>67</v>
      </c>
      <c r="G6" s="127">
        <v>67</v>
      </c>
      <c r="H6" s="122">
        <v>68</v>
      </c>
      <c r="I6" s="123">
        <v>68</v>
      </c>
      <c r="J6" s="133">
        <v>68</v>
      </c>
      <c r="K6" s="129">
        <v>97</v>
      </c>
      <c r="L6" s="130">
        <v>89</v>
      </c>
      <c r="M6" s="130">
        <v>35</v>
      </c>
      <c r="N6" s="123"/>
      <c r="O6" s="131">
        <v>146</v>
      </c>
    </row>
    <row r="7" spans="1:21" x14ac:dyDescent="0.15">
      <c r="A7" s="70" t="s">
        <v>123</v>
      </c>
      <c r="B7" s="122">
        <v>77</v>
      </c>
      <c r="C7" s="123">
        <v>77</v>
      </c>
      <c r="D7" s="124">
        <v>77</v>
      </c>
      <c r="E7" s="138">
        <v>77</v>
      </c>
      <c r="F7" s="123">
        <v>77</v>
      </c>
      <c r="G7" s="124">
        <v>77</v>
      </c>
      <c r="H7" s="122">
        <v>78</v>
      </c>
      <c r="I7" s="123">
        <v>80</v>
      </c>
      <c r="J7" s="133">
        <v>82</v>
      </c>
      <c r="K7" s="129">
        <v>98</v>
      </c>
      <c r="L7" s="135">
        <v>142</v>
      </c>
      <c r="M7" s="130">
        <v>84</v>
      </c>
      <c r="N7" s="123"/>
      <c r="O7" s="131">
        <v>147</v>
      </c>
    </row>
    <row r="8" spans="1:21" ht="14" thickBot="1" x14ac:dyDescent="0.2">
      <c r="A8" s="71" t="s">
        <v>124</v>
      </c>
      <c r="B8" s="90">
        <v>104</v>
      </c>
      <c r="C8" s="145">
        <v>104</v>
      </c>
      <c r="D8" s="146">
        <v>104</v>
      </c>
      <c r="E8" s="147">
        <v>105</v>
      </c>
      <c r="F8" s="145">
        <v>105</v>
      </c>
      <c r="G8" s="146">
        <v>105</v>
      </c>
      <c r="H8" s="90">
        <v>106</v>
      </c>
      <c r="I8" s="145">
        <v>106</v>
      </c>
      <c r="J8" s="148">
        <v>106</v>
      </c>
      <c r="K8" s="149">
        <v>149</v>
      </c>
      <c r="L8" s="150">
        <v>91</v>
      </c>
      <c r="M8" s="145">
        <v>63</v>
      </c>
      <c r="N8" s="145"/>
      <c r="O8" s="151">
        <v>148</v>
      </c>
    </row>
    <row r="10" spans="1:21" ht="14" thickBot="1" x14ac:dyDescent="0.2"/>
    <row r="11" spans="1:21" ht="14" thickBot="1" x14ac:dyDescent="0.2">
      <c r="A11" s="68"/>
      <c r="B11" s="281" t="s">
        <v>244</v>
      </c>
      <c r="C11" s="282"/>
      <c r="D11" s="283"/>
      <c r="E11" s="281" t="s">
        <v>114</v>
      </c>
      <c r="F11" s="282"/>
      <c r="G11" s="283"/>
      <c r="H11" s="281" t="s">
        <v>115</v>
      </c>
      <c r="I11" s="282"/>
      <c r="J11" s="283"/>
      <c r="K11" s="281" t="s">
        <v>116</v>
      </c>
      <c r="L11" s="282"/>
      <c r="M11" s="283"/>
      <c r="N11" s="281" t="s">
        <v>180</v>
      </c>
      <c r="O11" s="282"/>
      <c r="P11" s="282"/>
      <c r="Q11" s="282"/>
      <c r="R11" s="283"/>
      <c r="S11" s="281" t="s">
        <v>117</v>
      </c>
      <c r="T11" s="282"/>
      <c r="U11" s="283"/>
    </row>
    <row r="12" spans="1:21" x14ac:dyDescent="0.15">
      <c r="A12" s="69" t="s">
        <v>118</v>
      </c>
      <c r="B12" s="111">
        <v>117</v>
      </c>
      <c r="C12" s="112">
        <v>118</v>
      </c>
      <c r="D12" s="113">
        <v>118</v>
      </c>
      <c r="E12" s="114">
        <v>118</v>
      </c>
      <c r="F12" s="112">
        <v>118</v>
      </c>
      <c r="G12" s="115">
        <v>118</v>
      </c>
      <c r="H12" s="114">
        <v>118</v>
      </c>
      <c r="I12" s="112">
        <v>118</v>
      </c>
      <c r="J12" s="115">
        <v>118</v>
      </c>
      <c r="K12" s="114">
        <v>118</v>
      </c>
      <c r="L12" s="112">
        <v>118</v>
      </c>
      <c r="M12" s="115">
        <v>118</v>
      </c>
      <c r="N12" s="116">
        <v>109</v>
      </c>
      <c r="O12" s="117">
        <v>110</v>
      </c>
      <c r="P12" s="117">
        <v>111</v>
      </c>
      <c r="Q12" s="117">
        <v>112</v>
      </c>
      <c r="R12" s="118">
        <v>113</v>
      </c>
      <c r="S12" s="119">
        <v>4</v>
      </c>
      <c r="T12" s="120">
        <v>90</v>
      </c>
      <c r="U12" s="121">
        <v>133</v>
      </c>
    </row>
    <row r="13" spans="1:21" x14ac:dyDescent="0.15">
      <c r="A13" s="70" t="s">
        <v>119</v>
      </c>
      <c r="B13" s="132">
        <v>23</v>
      </c>
      <c r="C13" s="130">
        <v>18</v>
      </c>
      <c r="D13" s="133">
        <v>18</v>
      </c>
      <c r="E13" s="134">
        <v>26</v>
      </c>
      <c r="F13" s="135">
        <v>26</v>
      </c>
      <c r="G13" s="124">
        <v>27</v>
      </c>
      <c r="H13" s="122">
        <v>30</v>
      </c>
      <c r="I13" s="123">
        <v>30</v>
      </c>
      <c r="J13" s="133">
        <v>30</v>
      </c>
      <c r="K13" s="134">
        <v>31</v>
      </c>
      <c r="L13" s="130">
        <v>32</v>
      </c>
      <c r="M13" s="131">
        <v>32</v>
      </c>
      <c r="N13" s="136">
        <v>114</v>
      </c>
      <c r="O13" s="135">
        <v>115</v>
      </c>
      <c r="P13" s="135">
        <v>119</v>
      </c>
      <c r="Q13" s="135">
        <v>120</v>
      </c>
      <c r="R13" s="137">
        <v>121</v>
      </c>
      <c r="S13" s="138">
        <v>6</v>
      </c>
      <c r="T13" s="123">
        <v>7</v>
      </c>
      <c r="U13" s="124">
        <v>7</v>
      </c>
    </row>
    <row r="14" spans="1:21" x14ac:dyDescent="0.15">
      <c r="A14" s="70" t="s">
        <v>120</v>
      </c>
      <c r="B14" s="136">
        <v>24</v>
      </c>
      <c r="C14" s="135">
        <v>24</v>
      </c>
      <c r="D14" s="137">
        <v>24</v>
      </c>
      <c r="E14" s="138">
        <v>39</v>
      </c>
      <c r="F14" s="123">
        <v>39</v>
      </c>
      <c r="G14" s="124">
        <v>39</v>
      </c>
      <c r="H14" s="136">
        <v>40</v>
      </c>
      <c r="I14" s="123">
        <v>41</v>
      </c>
      <c r="J14" s="133">
        <v>41</v>
      </c>
      <c r="K14" s="138">
        <v>43</v>
      </c>
      <c r="L14" s="123">
        <v>43</v>
      </c>
      <c r="M14" s="124">
        <v>43</v>
      </c>
      <c r="N14" s="136">
        <v>122</v>
      </c>
      <c r="O14" s="135">
        <v>123</v>
      </c>
      <c r="P14" s="135">
        <v>124</v>
      </c>
      <c r="Q14" s="135">
        <v>125</v>
      </c>
      <c r="R14" s="137">
        <v>126</v>
      </c>
      <c r="S14" s="138">
        <v>11</v>
      </c>
      <c r="T14" s="126">
        <v>12</v>
      </c>
      <c r="U14" s="127">
        <v>15</v>
      </c>
    </row>
    <row r="15" spans="1:21" x14ac:dyDescent="0.15">
      <c r="A15" s="70" t="s">
        <v>121</v>
      </c>
      <c r="B15" s="122">
        <v>25</v>
      </c>
      <c r="C15" s="123">
        <v>51</v>
      </c>
      <c r="D15" s="133">
        <v>52</v>
      </c>
      <c r="E15" s="138">
        <v>53</v>
      </c>
      <c r="F15" s="123">
        <v>54</v>
      </c>
      <c r="G15" s="124">
        <v>54</v>
      </c>
      <c r="H15" s="122">
        <v>55</v>
      </c>
      <c r="I15" s="130">
        <v>56</v>
      </c>
      <c r="J15" s="133">
        <v>57</v>
      </c>
      <c r="K15" s="138">
        <v>58</v>
      </c>
      <c r="L15" s="123">
        <v>58</v>
      </c>
      <c r="M15" s="124">
        <v>59</v>
      </c>
      <c r="N15" s="136">
        <v>127</v>
      </c>
      <c r="O15" s="135">
        <v>128</v>
      </c>
      <c r="P15" s="135">
        <v>129</v>
      </c>
      <c r="Q15" s="135">
        <v>130</v>
      </c>
      <c r="R15" s="137">
        <v>131</v>
      </c>
      <c r="S15" s="138">
        <v>33</v>
      </c>
      <c r="T15" s="123">
        <v>33</v>
      </c>
      <c r="U15" s="124">
        <v>60</v>
      </c>
    </row>
    <row r="16" spans="1:21" x14ac:dyDescent="0.15">
      <c r="A16" s="70" t="s">
        <v>122</v>
      </c>
      <c r="B16" s="122">
        <v>22</v>
      </c>
      <c r="C16" s="135">
        <v>71</v>
      </c>
      <c r="D16" s="137">
        <v>71</v>
      </c>
      <c r="E16" s="138">
        <v>72</v>
      </c>
      <c r="F16" s="123">
        <v>72</v>
      </c>
      <c r="G16" s="124">
        <v>72</v>
      </c>
      <c r="H16" s="122">
        <v>73</v>
      </c>
      <c r="I16" s="123">
        <v>73</v>
      </c>
      <c r="J16" s="133">
        <v>73</v>
      </c>
      <c r="K16" s="138">
        <v>74</v>
      </c>
      <c r="L16" s="126">
        <v>75</v>
      </c>
      <c r="M16" s="127">
        <v>75</v>
      </c>
      <c r="N16" s="136">
        <v>132</v>
      </c>
      <c r="O16" s="135">
        <v>135</v>
      </c>
      <c r="P16" s="135">
        <v>135</v>
      </c>
      <c r="Q16" s="135">
        <v>136</v>
      </c>
      <c r="R16" s="137">
        <v>137</v>
      </c>
      <c r="S16" s="129">
        <v>69</v>
      </c>
      <c r="T16" s="123">
        <v>70</v>
      </c>
      <c r="U16" s="124">
        <v>70</v>
      </c>
    </row>
    <row r="17" spans="1:21" x14ac:dyDescent="0.15">
      <c r="A17" s="70" t="s">
        <v>123</v>
      </c>
      <c r="B17" s="140">
        <v>21</v>
      </c>
      <c r="C17" s="141">
        <v>21</v>
      </c>
      <c r="D17" s="142">
        <v>21</v>
      </c>
      <c r="E17" s="129">
        <v>79</v>
      </c>
      <c r="F17" s="130">
        <v>79</v>
      </c>
      <c r="G17" s="124">
        <v>81</v>
      </c>
      <c r="H17" s="143">
        <v>83</v>
      </c>
      <c r="I17" s="130">
        <v>83</v>
      </c>
      <c r="J17" s="139">
        <v>86</v>
      </c>
      <c r="K17" s="125">
        <v>88</v>
      </c>
      <c r="L17" s="126">
        <v>88</v>
      </c>
      <c r="M17" s="127">
        <v>88</v>
      </c>
      <c r="N17" s="136">
        <v>138</v>
      </c>
      <c r="O17" s="135">
        <v>138</v>
      </c>
      <c r="P17" s="135">
        <v>139</v>
      </c>
      <c r="Q17" s="144">
        <v>140</v>
      </c>
      <c r="R17" s="137">
        <v>141</v>
      </c>
      <c r="S17" s="134">
        <v>76</v>
      </c>
      <c r="T17" s="135">
        <v>76</v>
      </c>
      <c r="U17" s="131">
        <v>85</v>
      </c>
    </row>
    <row r="18" spans="1:21" ht="14" thickBot="1" x14ac:dyDescent="0.2">
      <c r="A18" s="71" t="s">
        <v>124</v>
      </c>
      <c r="B18" s="90">
        <v>93</v>
      </c>
      <c r="C18" s="145">
        <v>93</v>
      </c>
      <c r="D18" s="152">
        <v>107</v>
      </c>
      <c r="E18" s="147">
        <v>101</v>
      </c>
      <c r="F18" s="145">
        <v>101</v>
      </c>
      <c r="G18" s="146">
        <v>101</v>
      </c>
      <c r="H18" s="153">
        <v>103</v>
      </c>
      <c r="I18" s="154">
        <v>103</v>
      </c>
      <c r="J18" s="155">
        <v>103</v>
      </c>
      <c r="K18" s="147">
        <v>108</v>
      </c>
      <c r="L18" s="145">
        <v>108</v>
      </c>
      <c r="M18" s="146">
        <v>108</v>
      </c>
      <c r="N18" s="156">
        <v>143</v>
      </c>
      <c r="O18" s="157">
        <v>143</v>
      </c>
      <c r="P18" s="157">
        <v>144</v>
      </c>
      <c r="Q18" s="157">
        <v>144</v>
      </c>
      <c r="R18" s="158">
        <v>144</v>
      </c>
      <c r="S18" s="147">
        <v>87</v>
      </c>
      <c r="T18" s="145">
        <v>102</v>
      </c>
      <c r="U18" s="146">
        <v>102</v>
      </c>
    </row>
  </sheetData>
  <mergeCells count="10">
    <mergeCell ref="H11:J11"/>
    <mergeCell ref="K11:M11"/>
    <mergeCell ref="N11:R11"/>
    <mergeCell ref="S11:U11"/>
    <mergeCell ref="B1:D1"/>
    <mergeCell ref="E1:G1"/>
    <mergeCell ref="H1:J1"/>
    <mergeCell ref="K1:O1"/>
    <mergeCell ref="B11:D11"/>
    <mergeCell ref="E11:G11"/>
  </mergeCells>
  <phoneticPr fontId="1" type="noConversion"/>
  <pageMargins left="0.75000000000000011" right="0.75000000000000011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44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1" sqref="B31"/>
    </sheetView>
  </sheetViews>
  <sheetFormatPr baseColWidth="10" defaultColWidth="10.6640625" defaultRowHeight="13" x14ac:dyDescent="0.15"/>
  <cols>
    <col min="19" max="19" width="11.83203125" customWidth="1"/>
  </cols>
  <sheetData>
    <row r="1" spans="1:30" x14ac:dyDescent="0.15">
      <c r="A1" s="4">
        <f>'TO G'!A1</f>
        <v>0</v>
      </c>
      <c r="B1" s="238" t="str">
        <f>'TO G'!B1</f>
        <v>Laudes</v>
      </c>
      <c r="C1" s="239"/>
      <c r="D1" s="239"/>
      <c r="E1" s="240"/>
      <c r="F1" s="14" t="str">
        <f>'TO G'!F1</f>
        <v>Vêpres</v>
      </c>
      <c r="G1" s="14" t="str">
        <f>'TO G'!G1</f>
        <v>Vêpres</v>
      </c>
      <c r="H1" s="14" t="str">
        <f>'TO G'!H1</f>
        <v>Vêpres</v>
      </c>
      <c r="I1" s="14" t="str">
        <f>'TO G'!I1</f>
        <v>Vêpres</v>
      </c>
      <c r="J1" s="14" t="str">
        <f>'TO G'!J1</f>
        <v>Vêpres</v>
      </c>
      <c r="K1" s="14" t="str">
        <f>'TO G'!K1</f>
        <v>Vêpres</v>
      </c>
      <c r="L1" s="14" t="str">
        <f>'TO G'!L1</f>
        <v>Vêpres</v>
      </c>
      <c r="M1" s="14" t="str">
        <f>'TO G'!M1</f>
        <v>Vêpres</v>
      </c>
      <c r="N1" s="14" t="str">
        <f>'TO G'!N1</f>
        <v>Vigiles</v>
      </c>
      <c r="O1" s="14" t="str">
        <f>'TO G'!O1</f>
        <v>Vigiles</v>
      </c>
      <c r="P1" s="14" t="str">
        <f>'TO G'!P1</f>
        <v>Vigiles</v>
      </c>
      <c r="Q1" s="14" t="str">
        <f>'TO G'!Q1</f>
        <v>Vigiles</v>
      </c>
      <c r="R1" s="14" t="str">
        <f>'TO G'!R1</f>
        <v>Vigiles</v>
      </c>
      <c r="S1" s="14" t="str">
        <f>'TO G'!S1</f>
        <v>Vigiles</v>
      </c>
      <c r="T1" s="14" t="str">
        <f>'TO G'!T1</f>
        <v>Vigiles</v>
      </c>
      <c r="U1" s="14" t="str">
        <f>'TO G'!U1</f>
        <v>Vigiles</v>
      </c>
      <c r="V1" s="43" t="str">
        <f>'TO G'!V1</f>
        <v>Milieu du Jour</v>
      </c>
      <c r="W1" s="43" t="str">
        <f>'TO G'!W1</f>
        <v>Milieu du Jour</v>
      </c>
      <c r="X1" s="43" t="str">
        <f>'TO G'!X1</f>
        <v>Milieu du Jour</v>
      </c>
      <c r="Y1" s="43" t="str">
        <f>'TO G'!Y1</f>
        <v>Milieu du Jour</v>
      </c>
      <c r="Z1" s="43" t="str">
        <f>'TO G'!Z1</f>
        <v>Milieu du Jour</v>
      </c>
      <c r="AA1" s="43" t="str">
        <f>'TO G'!AA1</f>
        <v>Milieu du Jour</v>
      </c>
      <c r="AB1" s="43" t="str">
        <f>'TO G'!AB1</f>
        <v>Milieu du Jour</v>
      </c>
      <c r="AC1" s="43" t="str">
        <f>'TO G'!AC1</f>
        <v>Milieu du Jour</v>
      </c>
      <c r="AD1" s="26" t="str">
        <f>'TO G'!AD1</f>
        <v>Complies</v>
      </c>
    </row>
    <row r="2" spans="1:30" ht="14" thickBot="1" x14ac:dyDescent="0.2">
      <c r="A2" s="5">
        <f>'TO G'!A2</f>
        <v>0</v>
      </c>
      <c r="B2" s="8" t="str">
        <f>'TO G'!B2</f>
        <v>I</v>
      </c>
      <c r="C2" s="2" t="str">
        <f>'TO G'!C2</f>
        <v>II</v>
      </c>
      <c r="D2" s="2" t="str">
        <f>'TO G'!D2</f>
        <v>III</v>
      </c>
      <c r="E2" s="3" t="str">
        <f>'TO G'!E2</f>
        <v>IV</v>
      </c>
      <c r="F2" s="251" t="str">
        <f>'TO G'!F2</f>
        <v>I</v>
      </c>
      <c r="G2" s="242"/>
      <c r="H2" s="243" t="str">
        <f>'TO G'!H2</f>
        <v>II</v>
      </c>
      <c r="I2" s="242"/>
      <c r="J2" s="243" t="str">
        <f>'TO G'!J2</f>
        <v>III</v>
      </c>
      <c r="K2" s="242"/>
      <c r="L2" s="243" t="str">
        <f>'TO G'!L2</f>
        <v>IV</v>
      </c>
      <c r="M2" s="244"/>
      <c r="N2" s="67" t="str">
        <f>'TO G'!N2</f>
        <v>I</v>
      </c>
      <c r="O2" s="90" t="str">
        <f>'TO G'!O2</f>
        <v>V</v>
      </c>
      <c r="P2" s="20" t="str">
        <f>'TO G'!P2</f>
        <v>II</v>
      </c>
      <c r="Q2" s="90" t="str">
        <f>'TO G'!Q2</f>
        <v>VI</v>
      </c>
      <c r="R2" s="20" t="str">
        <f>'TO G'!R2</f>
        <v>III</v>
      </c>
      <c r="S2" s="90" t="str">
        <f>'TO G'!S2</f>
        <v>VII</v>
      </c>
      <c r="T2" s="20" t="str">
        <f>'TO G'!T2</f>
        <v>IV</v>
      </c>
      <c r="U2" s="91" t="str">
        <f>'TO G'!U2</f>
        <v>VIII</v>
      </c>
      <c r="V2" s="251" t="str">
        <f>'TO G'!V2</f>
        <v>I</v>
      </c>
      <c r="W2" s="242"/>
      <c r="X2" s="243" t="str">
        <f>'TO G'!X2</f>
        <v>II</v>
      </c>
      <c r="Y2" s="242"/>
      <c r="Z2" s="243" t="str">
        <f>'TO G'!Z2</f>
        <v>III</v>
      </c>
      <c r="AA2" s="242"/>
      <c r="AB2" s="243" t="str">
        <f>'TO G'!AB2</f>
        <v>IV</v>
      </c>
      <c r="AC2" s="244"/>
      <c r="AD2" s="194">
        <f>'TO G'!AD2</f>
        <v>0</v>
      </c>
    </row>
    <row r="3" spans="1:30" x14ac:dyDescent="0.15">
      <c r="A3" s="235" t="str">
        <f>'TO G'!A3</f>
        <v>Dimanche</v>
      </c>
      <c r="B3" s="11">
        <f>'TO G'!B3</f>
        <v>92</v>
      </c>
      <c r="G3" s="14">
        <f>'TO G'!G3</f>
        <v>0</v>
      </c>
      <c r="I3" s="12">
        <f>'TO G'!I3</f>
        <v>0</v>
      </c>
      <c r="K3" s="12">
        <f>'TO G'!K3</f>
        <v>0</v>
      </c>
      <c r="M3" s="13">
        <f>'TO G'!M3</f>
        <v>0</v>
      </c>
      <c r="V3" s="14">
        <f>'TO G'!V3</f>
        <v>117</v>
      </c>
      <c r="W3" s="12" t="str">
        <f>'TO G'!W3</f>
        <v>1-4</v>
      </c>
      <c r="X3" s="12">
        <f>'TO G'!X3</f>
        <v>22</v>
      </c>
      <c r="Y3" s="12">
        <f>'TO G'!Y3</f>
        <v>0</v>
      </c>
      <c r="Z3" s="12">
        <f>'TO G'!Z3</f>
        <v>117</v>
      </c>
      <c r="AA3" s="12" t="str">
        <f>'TO G'!AA3</f>
        <v>1-4</v>
      </c>
      <c r="AB3" s="14">
        <f>'TO G'!AB3</f>
        <v>22</v>
      </c>
      <c r="AC3" s="18">
        <f>'TO G'!AC3</f>
        <v>0</v>
      </c>
      <c r="AD3" s="65">
        <f>'TO G'!AD3</f>
        <v>90</v>
      </c>
    </row>
    <row r="4" spans="1:30" x14ac:dyDescent="0.15">
      <c r="A4" s="236"/>
      <c r="B4" s="9" t="str">
        <f>'TO G'!B4</f>
        <v>AT 49</v>
      </c>
      <c r="G4" s="7">
        <f>'TO G'!G4</f>
        <v>0</v>
      </c>
      <c r="I4" s="1">
        <f>'TO G'!I4</f>
        <v>0</v>
      </c>
      <c r="K4" s="1">
        <f>'TO G'!K4</f>
        <v>0</v>
      </c>
      <c r="M4" s="10">
        <f>'TO G'!M4</f>
        <v>0</v>
      </c>
      <c r="V4" s="7">
        <f>'TO G'!V4</f>
        <v>117</v>
      </c>
      <c r="W4" s="45" t="str">
        <f>'TO G'!W4</f>
        <v>5-24</v>
      </c>
      <c r="X4" s="1">
        <f>'TO G'!X4</f>
        <v>75</v>
      </c>
      <c r="Y4" s="45" t="str">
        <f>'TO G'!Y4</f>
        <v>2-7</v>
      </c>
      <c r="Z4" s="1">
        <f>'TO G'!Z4</f>
        <v>117</v>
      </c>
      <c r="AA4" s="45" t="str">
        <f>'TO G'!AA4</f>
        <v>5-24</v>
      </c>
      <c r="AB4" s="7">
        <f>'TO G'!AB4</f>
        <v>75</v>
      </c>
      <c r="AC4" s="19" t="str">
        <f>'TO G'!AC4</f>
        <v>2-7</v>
      </c>
      <c r="AD4" s="64">
        <f>'TO G'!AD4</f>
        <v>0</v>
      </c>
    </row>
    <row r="5" spans="1:30" ht="14" thickBot="1" x14ac:dyDescent="0.2">
      <c r="A5" s="237"/>
      <c r="B5" s="8">
        <f>'TO G'!B5</f>
        <v>148</v>
      </c>
      <c r="G5" s="6">
        <f>'TO G'!G5</f>
        <v>0</v>
      </c>
      <c r="I5" s="6">
        <f>'TO G'!I5</f>
        <v>0</v>
      </c>
      <c r="K5" s="2">
        <f>'TO G'!K5</f>
        <v>0</v>
      </c>
      <c r="M5" s="3">
        <f>'TO G'!M5</f>
        <v>0</v>
      </c>
      <c r="V5" s="6">
        <f>'TO G'!V5</f>
        <v>117</v>
      </c>
      <c r="W5" s="46" t="str">
        <f>'TO G'!W5</f>
        <v>25-29</v>
      </c>
      <c r="X5" s="6">
        <f>'TO G'!X5</f>
        <v>75</v>
      </c>
      <c r="Y5" s="46" t="str">
        <f>'TO G'!Y5</f>
        <v>8-13</v>
      </c>
      <c r="Z5" s="6">
        <f>'TO G'!Z5</f>
        <v>117</v>
      </c>
      <c r="AA5" s="46" t="str">
        <f>'TO G'!AA5</f>
        <v>25-29</v>
      </c>
      <c r="AB5" s="6">
        <f>'TO G'!AB5</f>
        <v>75</v>
      </c>
      <c r="AC5" s="20" t="str">
        <f>'TO G'!AC5</f>
        <v>8-13</v>
      </c>
      <c r="AD5" s="195">
        <f>'TO G'!AD5</f>
        <v>0</v>
      </c>
    </row>
    <row r="6" spans="1:30" x14ac:dyDescent="0.15">
      <c r="A6" s="235" t="str">
        <f>'TO G'!A6</f>
        <v>Lundi</v>
      </c>
      <c r="B6" s="11">
        <f>'TO G'!B6</f>
        <v>5</v>
      </c>
      <c r="G6" s="190">
        <f>'TO G'!G6</f>
        <v>0</v>
      </c>
      <c r="I6" s="189">
        <f>'TO G'!I6</f>
        <v>0</v>
      </c>
      <c r="K6" s="12">
        <f>'TO G'!K6</f>
        <v>0</v>
      </c>
      <c r="M6" s="13">
        <f>'TO G'!M6</f>
        <v>0</v>
      </c>
      <c r="V6" s="11" t="str">
        <f>'TO G'!V6</f>
        <v>18B</v>
      </c>
      <c r="W6" s="14">
        <f>'TO G'!W6</f>
        <v>0</v>
      </c>
      <c r="X6" s="14" t="str">
        <f>'TO G'!X6</f>
        <v>118 - VI</v>
      </c>
      <c r="Y6" s="14">
        <f>'TO G'!Y6</f>
        <v>0</v>
      </c>
      <c r="Z6" s="14" t="str">
        <f>'TO G'!Z6</f>
        <v>118 - XI</v>
      </c>
      <c r="AA6" s="14">
        <f>'TO G'!AA6</f>
        <v>0</v>
      </c>
      <c r="AB6" s="14" t="str">
        <f>'TO G'!AB6</f>
        <v>118 - XVII</v>
      </c>
      <c r="AC6" s="18">
        <f>'TO G'!AC6</f>
        <v>0</v>
      </c>
      <c r="AD6" s="65">
        <f>'TO G'!AD6</f>
        <v>4</v>
      </c>
    </row>
    <row r="7" spans="1:30" x14ac:dyDescent="0.15">
      <c r="A7" s="236"/>
      <c r="B7" s="9" t="str">
        <f>'TO G'!B7</f>
        <v>AT 4</v>
      </c>
      <c r="G7" s="191">
        <f>'TO G'!G7</f>
        <v>0</v>
      </c>
      <c r="I7" s="189">
        <f>'TO G'!I7</f>
        <v>0</v>
      </c>
      <c r="K7" s="1">
        <f>'TO G'!K7</f>
        <v>0</v>
      </c>
      <c r="M7" s="10">
        <f>'TO G'!M7</f>
        <v>0</v>
      </c>
      <c r="V7" s="9">
        <f>'TO G'!V7</f>
        <v>7</v>
      </c>
      <c r="W7" s="78" t="str">
        <f>'TO G'!W7</f>
        <v>2-10</v>
      </c>
      <c r="X7" s="1">
        <f>'TO G'!X7</f>
        <v>39</v>
      </c>
      <c r="Y7" s="45" t="str">
        <f>'TO G'!Y7</f>
        <v>2-9</v>
      </c>
      <c r="Z7" s="1">
        <f>'TO G'!Z7</f>
        <v>70</v>
      </c>
      <c r="AA7" s="45" t="str">
        <f>'TO G'!AA7</f>
        <v>1-13</v>
      </c>
      <c r="AB7" s="7">
        <f>'TO G'!AB7</f>
        <v>81</v>
      </c>
      <c r="AC7" s="19">
        <f>'TO G'!AC7</f>
        <v>0</v>
      </c>
      <c r="AD7" s="64">
        <f>'TO G'!AD7</f>
        <v>133</v>
      </c>
    </row>
    <row r="8" spans="1:30" ht="14" thickBot="1" x14ac:dyDescent="0.2">
      <c r="A8" s="237"/>
      <c r="B8" s="8">
        <f>'TO G'!B8</f>
        <v>91</v>
      </c>
      <c r="G8" s="6">
        <f>'TO G'!G8</f>
        <v>0</v>
      </c>
      <c r="I8" s="6">
        <f>'TO G'!I8</f>
        <v>0</v>
      </c>
      <c r="K8" s="2">
        <f>'TO G'!K8</f>
        <v>0</v>
      </c>
      <c r="M8" s="3">
        <f>'TO G'!M8</f>
        <v>0</v>
      </c>
      <c r="V8" s="8">
        <f>'TO G'!V8</f>
        <v>7</v>
      </c>
      <c r="W8" s="46" t="str">
        <f>'TO G'!W8</f>
        <v>11-18</v>
      </c>
      <c r="X8" s="6">
        <f>'TO G'!X8</f>
        <v>39</v>
      </c>
      <c r="Y8" s="46" t="str">
        <f>'TO G'!Y8</f>
        <v>10-18</v>
      </c>
      <c r="Z8" s="6">
        <f>'TO G'!Z8</f>
        <v>70</v>
      </c>
      <c r="AA8" s="46" t="str">
        <f>'TO G'!AA8</f>
        <v>14-24</v>
      </c>
      <c r="AB8" s="6">
        <f>'TO G'!AB8</f>
        <v>119</v>
      </c>
      <c r="AC8" s="20">
        <f>'TO G'!AC8</f>
        <v>0</v>
      </c>
      <c r="AD8" s="195">
        <f>'TO G'!AD8</f>
        <v>0</v>
      </c>
    </row>
    <row r="9" spans="1:30" x14ac:dyDescent="0.15">
      <c r="A9" s="235" t="str">
        <f>'TO G'!A9</f>
        <v>Mardi</v>
      </c>
      <c r="B9" s="9">
        <f>'TO G'!B9</f>
        <v>8</v>
      </c>
      <c r="G9" s="7">
        <f>'TO G'!G9</f>
        <v>0</v>
      </c>
      <c r="I9" s="45">
        <f>'TO G'!I9</f>
        <v>0</v>
      </c>
      <c r="K9" s="1">
        <f>'TO G'!K9</f>
        <v>0</v>
      </c>
      <c r="M9" s="187">
        <f>'TO G'!M9</f>
        <v>0</v>
      </c>
      <c r="V9" s="11" t="str">
        <f>'TO G'!V9</f>
        <v>118 - I</v>
      </c>
      <c r="W9" s="14">
        <f>'TO G'!W9</f>
        <v>0</v>
      </c>
      <c r="X9" s="14" t="str">
        <f>'TO G'!X9</f>
        <v>118 - VII</v>
      </c>
      <c r="Y9" s="12">
        <f>'TO G'!Y9</f>
        <v>0</v>
      </c>
      <c r="Z9" s="14" t="str">
        <f>'TO G'!Z9</f>
        <v>118 - XII</v>
      </c>
      <c r="AA9" s="12">
        <f>'TO G'!AA9</f>
        <v>0</v>
      </c>
      <c r="AB9" s="14" t="str">
        <f>'TO G'!AB9</f>
        <v>118 - XVIII</v>
      </c>
      <c r="AC9" s="18">
        <f>'TO G'!AC9</f>
        <v>0</v>
      </c>
      <c r="AD9" s="64">
        <f>'TO G'!AD9</f>
        <v>90</v>
      </c>
    </row>
    <row r="10" spans="1:30" x14ac:dyDescent="0.15">
      <c r="A10" s="236"/>
      <c r="B10" s="9" t="str">
        <f>'TO G'!B10</f>
        <v>AT 6</v>
      </c>
      <c r="G10" s="7">
        <f>'TO G'!G10</f>
        <v>0</v>
      </c>
      <c r="I10" s="45">
        <f>'TO G'!I10</f>
        <v>0</v>
      </c>
      <c r="K10" s="1">
        <f>'TO G'!K10</f>
        <v>0</v>
      </c>
      <c r="M10" s="187">
        <f>'TO G'!M10</f>
        <v>0</v>
      </c>
      <c r="V10" s="9">
        <f>'TO G'!V10</f>
        <v>11</v>
      </c>
      <c r="W10" s="7">
        <f>'TO G'!W10</f>
        <v>0</v>
      </c>
      <c r="X10" s="1">
        <f>'TO G'!X10</f>
        <v>48</v>
      </c>
      <c r="Y10" s="1">
        <f>'TO G'!Y10</f>
        <v>0</v>
      </c>
      <c r="Z10" s="1">
        <f>'TO G'!Z10</f>
        <v>73</v>
      </c>
      <c r="AA10" s="1" t="str">
        <f>'TO G'!AA10</f>
        <v>1-9</v>
      </c>
      <c r="AB10" s="7">
        <f>'TO G'!AB10</f>
        <v>87</v>
      </c>
      <c r="AC10" s="50" t="str">
        <f>'TO G'!AC10</f>
        <v>2-10a</v>
      </c>
      <c r="AD10" s="64">
        <f>'TO G'!AD10</f>
        <v>0</v>
      </c>
    </row>
    <row r="11" spans="1:30" ht="14" thickBot="1" x14ac:dyDescent="0.2">
      <c r="A11" s="237"/>
      <c r="B11" s="9">
        <f>'TO G'!B11</f>
        <v>95</v>
      </c>
      <c r="G11" s="7">
        <f>'TO G'!G11</f>
        <v>0</v>
      </c>
      <c r="I11" s="7">
        <f>'TO G'!I11</f>
        <v>0</v>
      </c>
      <c r="K11" s="1">
        <f>'TO G'!K11</f>
        <v>0</v>
      </c>
      <c r="M11" s="10">
        <f>'TO G'!M11</f>
        <v>0</v>
      </c>
      <c r="V11" s="8">
        <f>'TO G'!V11</f>
        <v>12</v>
      </c>
      <c r="W11" s="6">
        <f>'TO G'!W11</f>
        <v>0</v>
      </c>
      <c r="X11" s="6">
        <f>'TO G'!X11</f>
        <v>48</v>
      </c>
      <c r="Y11" s="6">
        <f>'TO G'!Y11</f>
        <v>0</v>
      </c>
      <c r="Z11" s="6">
        <f>'TO G'!Z11</f>
        <v>73</v>
      </c>
      <c r="AA11" s="6" t="str">
        <f>'TO G'!AA11</f>
        <v>10-23</v>
      </c>
      <c r="AB11" s="6">
        <f>'TO G'!AB11</f>
        <v>87</v>
      </c>
      <c r="AC11" s="192" t="str">
        <f>'TO G'!AC11</f>
        <v>10b-19</v>
      </c>
      <c r="AD11" s="64">
        <f>'TO G'!AD11</f>
        <v>0</v>
      </c>
    </row>
    <row r="12" spans="1:30" x14ac:dyDescent="0.15">
      <c r="A12" s="235" t="str">
        <f>'TO G'!A12</f>
        <v>Mercredi</v>
      </c>
      <c r="B12" s="11" t="str">
        <f>'TO G'!B12</f>
        <v>18A</v>
      </c>
      <c r="G12" s="190">
        <f>'TO G'!G12</f>
        <v>0</v>
      </c>
      <c r="I12" s="12">
        <f>'TO G'!I12</f>
        <v>0</v>
      </c>
      <c r="K12" s="12">
        <f>'TO G'!K12</f>
        <v>0</v>
      </c>
      <c r="M12" s="13">
        <f>'TO G'!M12</f>
        <v>0</v>
      </c>
      <c r="V12" s="52" t="str">
        <f>'TO G'!V12</f>
        <v>118 - II</v>
      </c>
      <c r="W12" s="52">
        <f>'TO G'!W12</f>
        <v>0</v>
      </c>
      <c r="X12" s="52" t="str">
        <f>'TO G'!X12</f>
        <v>118 - I</v>
      </c>
      <c r="Y12" s="24">
        <f>'TO G'!Y12</f>
        <v>0</v>
      </c>
      <c r="Z12" s="24" t="str">
        <f>'TO G'!Z12</f>
        <v>118 - XIII</v>
      </c>
      <c r="AA12" s="24">
        <f>'TO G'!AA12</f>
        <v>0</v>
      </c>
      <c r="AB12" s="52" t="str">
        <f>'TO G'!AB12</f>
        <v>118 - XIX</v>
      </c>
      <c r="AC12" s="193">
        <f>'TO G'!AC12</f>
        <v>0</v>
      </c>
      <c r="AD12" s="65">
        <f>'TO G'!AD12</f>
        <v>4</v>
      </c>
    </row>
    <row r="13" spans="1:30" x14ac:dyDescent="0.15">
      <c r="A13" s="236"/>
      <c r="B13" s="9" t="str">
        <f>'TO G'!B13</f>
        <v>AT 8</v>
      </c>
      <c r="G13" s="191">
        <f>'TO G'!G13</f>
        <v>0</v>
      </c>
      <c r="I13" s="1">
        <f>'TO G'!I13</f>
        <v>0</v>
      </c>
      <c r="K13" s="1">
        <f>'TO G'!K13</f>
        <v>0</v>
      </c>
      <c r="M13" s="10">
        <f>'TO G'!M13</f>
        <v>0</v>
      </c>
      <c r="V13" s="7">
        <f>'TO G'!V13</f>
        <v>13</v>
      </c>
      <c r="W13" s="48">
        <f>'TO G'!W13</f>
        <v>0</v>
      </c>
      <c r="X13" s="1">
        <f>'TO G'!X13</f>
        <v>52</v>
      </c>
      <c r="Y13" s="45">
        <f>'TO G'!Y13</f>
        <v>0</v>
      </c>
      <c r="Z13" s="1">
        <f>'TO G'!Z13</f>
        <v>74</v>
      </c>
      <c r="AA13" s="45">
        <f>'TO G'!AA13</f>
        <v>0</v>
      </c>
      <c r="AB13" s="7">
        <f>'TO G'!AB13</f>
        <v>93</v>
      </c>
      <c r="AC13" s="50" t="str">
        <f>'TO G'!AC13</f>
        <v>1-11</v>
      </c>
      <c r="AD13" s="64">
        <f>'TO G'!AD13</f>
        <v>133</v>
      </c>
    </row>
    <row r="14" spans="1:30" ht="14" thickBot="1" x14ac:dyDescent="0.2">
      <c r="A14" s="237"/>
      <c r="B14" s="8">
        <f>'TO G'!B14</f>
        <v>96</v>
      </c>
      <c r="G14" s="6">
        <f>'TO G'!G14</f>
        <v>0</v>
      </c>
      <c r="I14" s="6">
        <f>'TO G'!I14</f>
        <v>0</v>
      </c>
      <c r="K14" s="2">
        <f>'TO G'!K14</f>
        <v>0</v>
      </c>
      <c r="M14" s="3">
        <f>'TO G'!M14</f>
        <v>0</v>
      </c>
      <c r="V14" s="6">
        <f>'TO G'!V14</f>
        <v>14</v>
      </c>
      <c r="W14" s="46">
        <f>'TO G'!W14</f>
        <v>0</v>
      </c>
      <c r="X14" s="6">
        <f>'TO G'!X14</f>
        <v>53</v>
      </c>
      <c r="Y14" s="46">
        <f>'TO G'!Y14</f>
        <v>0</v>
      </c>
      <c r="Z14" s="6">
        <f>'TO G'!Z14</f>
        <v>76</v>
      </c>
      <c r="AA14" s="46">
        <f>'TO G'!AA14</f>
        <v>0</v>
      </c>
      <c r="AB14" s="6">
        <f>'TO G'!AB14</f>
        <v>93</v>
      </c>
      <c r="AC14" s="192" t="str">
        <f>'TO G'!AC14</f>
        <v>12-23</v>
      </c>
      <c r="AD14" s="195">
        <f>'TO G'!AD14</f>
        <v>0</v>
      </c>
    </row>
    <row r="15" spans="1:30" x14ac:dyDescent="0.15">
      <c r="A15" s="235" t="str">
        <f>'TO G'!A15</f>
        <v>Jeudi</v>
      </c>
      <c r="B15" s="9">
        <f>'TO G'!B15</f>
        <v>28</v>
      </c>
      <c r="G15" s="191">
        <f>'TO G'!G15</f>
        <v>0</v>
      </c>
      <c r="I15" s="45">
        <f>'TO G'!I15</f>
        <v>0</v>
      </c>
      <c r="K15" s="1" t="str">
        <f>'TO G'!K15</f>
        <v>1-10</v>
      </c>
      <c r="M15" s="187">
        <f>'TO G'!M15</f>
        <v>0</v>
      </c>
      <c r="V15" s="7" t="str">
        <f>'TO G'!V15</f>
        <v>118 - III</v>
      </c>
      <c r="W15" s="7">
        <f>'TO G'!W15</f>
        <v>0</v>
      </c>
      <c r="X15" s="7" t="str">
        <f>'TO G'!X15</f>
        <v>118 - VIII</v>
      </c>
      <c r="Y15" s="1">
        <f>'TO G'!Y15</f>
        <v>0</v>
      </c>
      <c r="Z15" s="7" t="str">
        <f>'TO G'!Z15</f>
        <v>118 - XIV</v>
      </c>
      <c r="AA15" s="1">
        <f>'TO G'!AA15</f>
        <v>0</v>
      </c>
      <c r="AB15" s="7" t="str">
        <f>'TO G'!AB15</f>
        <v>118 - XX</v>
      </c>
      <c r="AC15" s="19">
        <f>'TO G'!AC15</f>
        <v>0</v>
      </c>
      <c r="AD15" s="64">
        <f>'TO G'!AD15</f>
        <v>90</v>
      </c>
    </row>
    <row r="16" spans="1:30" x14ac:dyDescent="0.15">
      <c r="A16" s="236"/>
      <c r="B16" s="9" t="str">
        <f>'TO G'!B16</f>
        <v>AT 44</v>
      </c>
      <c r="G16" s="191">
        <f>'TO G'!G16</f>
        <v>0</v>
      </c>
      <c r="I16" s="45">
        <f>'TO G'!I16</f>
        <v>0</v>
      </c>
      <c r="K16" s="1" t="str">
        <f>'TO G'!K16</f>
        <v>11-18</v>
      </c>
      <c r="M16" s="187">
        <f>'TO G'!M16</f>
        <v>0</v>
      </c>
      <c r="V16" s="7">
        <f>'TO G'!V16</f>
        <v>41</v>
      </c>
      <c r="W16" s="48">
        <f>'TO G'!W16</f>
        <v>0</v>
      </c>
      <c r="X16" s="1">
        <f>'TO G'!X16</f>
        <v>54</v>
      </c>
      <c r="Y16" s="1">
        <f>'TO G'!Y16</f>
        <v>0</v>
      </c>
      <c r="Z16" s="1">
        <f>'TO G'!Z16</f>
        <v>80</v>
      </c>
      <c r="AA16" s="1">
        <f>'TO G'!AA16</f>
        <v>0</v>
      </c>
      <c r="AB16" s="7">
        <f>'TO G'!AB16</f>
        <v>127</v>
      </c>
      <c r="AC16" s="19">
        <f>'TO G'!AC16</f>
        <v>0</v>
      </c>
      <c r="AD16" s="64">
        <f>'TO G'!AD16</f>
        <v>0</v>
      </c>
    </row>
    <row r="17" spans="1:30" ht="14" thickBot="1" x14ac:dyDescent="0.2">
      <c r="A17" s="237"/>
      <c r="B17" s="9">
        <f>'TO G'!B17</f>
        <v>97</v>
      </c>
      <c r="G17" s="6">
        <f>'TO G'!G17</f>
        <v>0</v>
      </c>
      <c r="I17" s="7">
        <f>'TO G'!I17</f>
        <v>0</v>
      </c>
      <c r="K17" s="1">
        <f>'TO G'!K17</f>
        <v>0</v>
      </c>
      <c r="M17" s="10">
        <f>'TO G'!M17</f>
        <v>0</v>
      </c>
      <c r="V17" s="8">
        <f>'TO G'!V17</f>
        <v>42</v>
      </c>
      <c r="W17" s="46">
        <f>'TO G'!W17</f>
        <v>0</v>
      </c>
      <c r="X17" s="6">
        <f>'TO G'!X17</f>
        <v>54</v>
      </c>
      <c r="Y17" s="6">
        <f>'TO G'!Y17</f>
        <v>0</v>
      </c>
      <c r="Z17" s="6">
        <f>'TO G'!Z17</f>
        <v>80</v>
      </c>
      <c r="AA17" s="6">
        <f>'TO G'!AA17</f>
        <v>0</v>
      </c>
      <c r="AB17" s="6">
        <f>'TO G'!AB17</f>
        <v>128</v>
      </c>
      <c r="AC17" s="20">
        <f>'TO G'!AC17</f>
        <v>0</v>
      </c>
      <c r="AD17" s="64">
        <f>'TO G'!AD17</f>
        <v>0</v>
      </c>
    </row>
    <row r="18" spans="1:30" x14ac:dyDescent="0.15">
      <c r="A18" s="235" t="str">
        <f>'TO G'!A18</f>
        <v>Vendredi</v>
      </c>
      <c r="B18" s="11">
        <f>'TO G'!B18</f>
        <v>50</v>
      </c>
      <c r="G18" s="7">
        <f>'TO G'!G18</f>
        <v>0</v>
      </c>
      <c r="I18" s="12">
        <f>'TO G'!I18</f>
        <v>0</v>
      </c>
      <c r="K18" s="12">
        <f>'TO G'!K18</f>
        <v>0</v>
      </c>
      <c r="M18" s="13">
        <f>'TO G'!M18</f>
        <v>0</v>
      </c>
      <c r="V18" s="52" t="str">
        <f>'TO G'!V18</f>
        <v>118 - IV</v>
      </c>
      <c r="W18" s="52">
        <f>'TO G'!W18</f>
        <v>0</v>
      </c>
      <c r="X18" s="52" t="str">
        <f>'TO G'!X18</f>
        <v>118 - IX</v>
      </c>
      <c r="Y18" s="24">
        <f>'TO G'!Y18</f>
        <v>0</v>
      </c>
      <c r="Z18" s="24">
        <f>'TO G'!Z18</f>
        <v>21</v>
      </c>
      <c r="AA18" s="24" t="str">
        <f>'TO G'!AA18</f>
        <v>2-11</v>
      </c>
      <c r="AB18" s="52" t="str">
        <f>'TO G'!AB18</f>
        <v>118 - XXI</v>
      </c>
      <c r="AC18" s="193">
        <f>'TO G'!AC18</f>
        <v>0</v>
      </c>
      <c r="AD18" s="65">
        <f>'TO G'!AD18</f>
        <v>4</v>
      </c>
    </row>
    <row r="19" spans="1:30" x14ac:dyDescent="0.15">
      <c r="A19" s="236"/>
      <c r="B19" s="9" t="str">
        <f>'TO G'!B19</f>
        <v>AT 30</v>
      </c>
      <c r="G19" s="7">
        <f>'TO G'!G19</f>
        <v>0</v>
      </c>
      <c r="I19" s="1">
        <f>'TO G'!I19</f>
        <v>0</v>
      </c>
      <c r="K19" s="1">
        <f>'TO G'!K19</f>
        <v>0</v>
      </c>
      <c r="M19" s="10">
        <f>'TO G'!M19</f>
        <v>0</v>
      </c>
      <c r="V19" s="7">
        <f>'TO G'!V19</f>
        <v>25</v>
      </c>
      <c r="W19" s="7">
        <f>'TO G'!W19</f>
        <v>0</v>
      </c>
      <c r="X19" s="1">
        <f>'TO G'!X19</f>
        <v>55</v>
      </c>
      <c r="Y19" s="1">
        <f>'TO G'!Y19</f>
        <v>0</v>
      </c>
      <c r="Z19" s="1">
        <f>'TO G'!Z19</f>
        <v>21</v>
      </c>
      <c r="AA19" s="1" t="str">
        <f>'TO G'!AA19</f>
        <v>12-22</v>
      </c>
      <c r="AB19" s="7">
        <f>'TO G'!AB19</f>
        <v>132</v>
      </c>
      <c r="AC19" s="19">
        <f>'TO G'!AC19</f>
        <v>0</v>
      </c>
      <c r="AD19" s="64">
        <f>'TO G'!AD19</f>
        <v>133</v>
      </c>
    </row>
    <row r="20" spans="1:30" ht="14" thickBot="1" x14ac:dyDescent="0.2">
      <c r="A20" s="237"/>
      <c r="B20" s="8">
        <f>'TO G'!B20</f>
        <v>98</v>
      </c>
      <c r="G20" s="6">
        <f>'TO G'!G20</f>
        <v>0</v>
      </c>
      <c r="I20" s="6">
        <f>'TO G'!I20</f>
        <v>0</v>
      </c>
      <c r="K20" s="2">
        <f>'TO G'!K20</f>
        <v>0</v>
      </c>
      <c r="M20" s="3">
        <f>'TO G'!M20</f>
        <v>0</v>
      </c>
      <c r="V20" s="6">
        <f>'TO G'!V20</f>
        <v>27</v>
      </c>
      <c r="W20" s="6">
        <f>'TO G'!W20</f>
        <v>0</v>
      </c>
      <c r="X20" s="6">
        <f>'TO G'!X20</f>
        <v>60</v>
      </c>
      <c r="Y20" s="6">
        <f>'TO G'!Y20</f>
        <v>0</v>
      </c>
      <c r="Z20" s="6">
        <f>'TO G'!Z20</f>
        <v>21</v>
      </c>
      <c r="AA20" s="6" t="str">
        <f>'TO G'!AA20</f>
        <v>23-32</v>
      </c>
      <c r="AB20" s="6">
        <f>'TO G'!AB20</f>
        <v>137</v>
      </c>
      <c r="AC20" s="20">
        <f>'TO G'!AC20</f>
        <v>0</v>
      </c>
      <c r="AD20" s="195">
        <f>'TO G'!AD20</f>
        <v>0</v>
      </c>
    </row>
    <row r="21" spans="1:30" x14ac:dyDescent="0.15">
      <c r="A21" s="235" t="str">
        <f>'TO G'!A21</f>
        <v>Samedi</v>
      </c>
      <c r="B21" s="9">
        <f>'TO G'!B21</f>
        <v>32</v>
      </c>
      <c r="G21" s="7" t="str">
        <f>'TO G'!G21</f>
        <v>2-10</v>
      </c>
      <c r="I21" s="1">
        <f>'TO G'!I21</f>
        <v>0</v>
      </c>
      <c r="K21" s="188">
        <f>'TO G'!K21</f>
        <v>0</v>
      </c>
      <c r="M21" s="187">
        <f>'TO G'!M21</f>
        <v>0</v>
      </c>
      <c r="V21" s="7" t="str">
        <f>'TO G'!V21</f>
        <v>118 - V</v>
      </c>
      <c r="W21" s="7">
        <f>'TO G'!W21</f>
        <v>0</v>
      </c>
      <c r="X21" s="7" t="str">
        <f>'TO G'!X21</f>
        <v>118 - X</v>
      </c>
      <c r="Y21" s="1">
        <f>'TO G'!Y21</f>
        <v>0</v>
      </c>
      <c r="Z21" s="7" t="str">
        <f>'TO G'!Z21</f>
        <v>118 - XV</v>
      </c>
      <c r="AA21" s="1">
        <f>'TO G'!AA21</f>
        <v>0</v>
      </c>
      <c r="AB21" s="7" t="str">
        <f>'TO G'!AB21</f>
        <v>118 - XXII</v>
      </c>
      <c r="AC21" s="19">
        <f>'TO G'!AC21</f>
        <v>0</v>
      </c>
      <c r="AD21" s="64" t="str">
        <f>'TO G'!AD21</f>
        <v>4</v>
      </c>
    </row>
    <row r="22" spans="1:30" x14ac:dyDescent="0.15">
      <c r="A22" s="236"/>
      <c r="B22" s="9" t="str">
        <f>'TO G'!B22</f>
        <v>AT 1</v>
      </c>
      <c r="G22" s="1" t="str">
        <f>'TO G'!G22</f>
        <v>11-18</v>
      </c>
      <c r="I22" s="1">
        <f>'TO G'!I22</f>
        <v>0</v>
      </c>
      <c r="K22" s="188">
        <f>'TO G'!K22</f>
        <v>0</v>
      </c>
      <c r="M22" s="187">
        <f>'TO G'!M22</f>
        <v>0</v>
      </c>
      <c r="V22" s="7">
        <f>'TO G'!V22</f>
        <v>33</v>
      </c>
      <c r="W22" s="1" t="str">
        <f>'TO G'!W22</f>
        <v>2-11</v>
      </c>
      <c r="X22" s="1">
        <f>'TO G'!X22</f>
        <v>61</v>
      </c>
      <c r="Y22" s="1">
        <f>'TO G'!Y22</f>
        <v>0</v>
      </c>
      <c r="Z22" s="1">
        <f>'TO G'!Z22</f>
        <v>33</v>
      </c>
      <c r="AA22" s="1" t="str">
        <f>'TO G'!AA22</f>
        <v>2-11</v>
      </c>
      <c r="AB22" s="7">
        <f>'TO G'!AB22</f>
        <v>44</v>
      </c>
      <c r="AC22" s="50" t="str">
        <f>'TO G'!AC22</f>
        <v>2-10</v>
      </c>
      <c r="AD22" s="64">
        <f>'TO G'!AD22</f>
        <v>133</v>
      </c>
    </row>
    <row r="23" spans="1:30" ht="14" thickBot="1" x14ac:dyDescent="0.2">
      <c r="A23" s="237"/>
      <c r="B23" s="8">
        <f>'TO G'!B23</f>
        <v>99</v>
      </c>
      <c r="G23" s="6">
        <f>'TO G'!G23</f>
        <v>0</v>
      </c>
      <c r="I23" s="6">
        <f>'TO G'!I23</f>
        <v>0</v>
      </c>
      <c r="K23" s="6">
        <f>'TO G'!K23</f>
        <v>0</v>
      </c>
      <c r="M23" s="3">
        <f>'TO G'!M23</f>
        <v>0</v>
      </c>
      <c r="V23" s="6">
        <f>'TO G'!V23</f>
        <v>33</v>
      </c>
      <c r="W23" s="6" t="str">
        <f>'TO G'!W23</f>
        <v>12-23</v>
      </c>
      <c r="X23" s="6">
        <f>'TO G'!X23</f>
        <v>63</v>
      </c>
      <c r="Y23" s="6">
        <f>'TO G'!Y23</f>
        <v>0</v>
      </c>
      <c r="Z23" s="6">
        <f>'TO G'!Z23</f>
        <v>33</v>
      </c>
      <c r="AA23" s="6" t="str">
        <f>'TO G'!AA23</f>
        <v>12-23</v>
      </c>
      <c r="AB23" s="6">
        <f>'TO G'!AB23</f>
        <v>44</v>
      </c>
      <c r="AC23" s="192" t="str">
        <f>'TO G'!AC23</f>
        <v>11-18</v>
      </c>
      <c r="AD23" s="195">
        <f>'TO G'!AD23</f>
        <v>0</v>
      </c>
    </row>
    <row r="24" spans="1:30" x14ac:dyDescent="0.15">
      <c r="B24" s="12">
        <f>'TO G'!C3</f>
        <v>117</v>
      </c>
    </row>
    <row r="25" spans="1:30" x14ac:dyDescent="0.15">
      <c r="B25" s="1" t="str">
        <f>'TO G'!C4</f>
        <v>AT 48</v>
      </c>
    </row>
    <row r="26" spans="1:30" ht="14" thickBot="1" x14ac:dyDescent="0.2">
      <c r="B26" s="2">
        <f>'TO G'!C5</f>
        <v>150</v>
      </c>
      <c r="E26">
        <v>62</v>
      </c>
    </row>
    <row r="27" spans="1:30" x14ac:dyDescent="0.15">
      <c r="B27" s="12">
        <f>'TO G'!C6</f>
        <v>35</v>
      </c>
    </row>
    <row r="28" spans="1:30" x14ac:dyDescent="0.15">
      <c r="B28" s="1" t="str">
        <f>'TO G'!C7</f>
        <v>AT 15</v>
      </c>
    </row>
    <row r="29" spans="1:30" ht="14" thickBot="1" x14ac:dyDescent="0.2">
      <c r="B29" s="2" t="str">
        <f>'TO G'!C8</f>
        <v>112-116</v>
      </c>
    </row>
    <row r="30" spans="1:30" x14ac:dyDescent="0.15">
      <c r="B30" s="1">
        <f>'TO G'!C9</f>
        <v>45</v>
      </c>
    </row>
    <row r="31" spans="1:30" x14ac:dyDescent="0.15">
      <c r="B31" s="1" t="str">
        <f>'TO G'!C10</f>
        <v>AT 25</v>
      </c>
    </row>
    <row r="32" spans="1:30" ht="14" thickBot="1" x14ac:dyDescent="0.2">
      <c r="B32" s="1">
        <f>'TO G'!C11</f>
        <v>134</v>
      </c>
    </row>
    <row r="33" spans="2:2" x14ac:dyDescent="0.15">
      <c r="B33" s="12">
        <f>'TO G'!C12</f>
        <v>46</v>
      </c>
    </row>
    <row r="34" spans="2:2" x14ac:dyDescent="0.15">
      <c r="B34" s="1" t="str">
        <f>'TO G'!C13</f>
        <v>AT 3</v>
      </c>
    </row>
    <row r="35" spans="2:2" ht="14" thickBot="1" x14ac:dyDescent="0.2">
      <c r="B35" s="2">
        <f>'TO G'!C14</f>
        <v>145</v>
      </c>
    </row>
    <row r="36" spans="2:2" x14ac:dyDescent="0.15">
      <c r="B36" s="1">
        <f>'TO G'!C15</f>
        <v>47</v>
      </c>
    </row>
    <row r="37" spans="2:2" x14ac:dyDescent="0.15">
      <c r="B37" s="1" t="str">
        <f>'TO G'!C16</f>
        <v>AT 20</v>
      </c>
    </row>
    <row r="38" spans="2:2" ht="14" thickBot="1" x14ac:dyDescent="0.2">
      <c r="B38" s="1">
        <f>'TO G'!C17</f>
        <v>146</v>
      </c>
    </row>
    <row r="39" spans="2:2" x14ac:dyDescent="0.15">
      <c r="B39" s="12">
        <f>'TO G'!C18</f>
        <v>50</v>
      </c>
    </row>
    <row r="40" spans="2:2" x14ac:dyDescent="0.15">
      <c r="B40" s="1" t="str">
        <f>'TO G'!C19</f>
        <v>AT 57</v>
      </c>
    </row>
    <row r="41" spans="2:2" ht="14" thickBot="1" x14ac:dyDescent="0.2">
      <c r="B41" s="2">
        <f>'TO G'!C20</f>
        <v>147</v>
      </c>
    </row>
    <row r="42" spans="2:2" x14ac:dyDescent="0.15">
      <c r="B42" s="1">
        <f>'TO G'!C21</f>
        <v>56</v>
      </c>
    </row>
    <row r="43" spans="2:2" x14ac:dyDescent="0.15">
      <c r="B43" s="1" t="str">
        <f>'TO G'!C22</f>
        <v>AT 2</v>
      </c>
    </row>
    <row r="44" spans="2:2" ht="14" thickBot="1" x14ac:dyDescent="0.2">
      <c r="B44" s="2">
        <f>'TO G'!C23</f>
        <v>149</v>
      </c>
    </row>
    <row r="45" spans="2:2" x14ac:dyDescent="0.15">
      <c r="B45" s="12">
        <f>'TO G'!D3</f>
        <v>92</v>
      </c>
    </row>
    <row r="46" spans="2:2" x14ac:dyDescent="0.15">
      <c r="B46" s="1" t="str">
        <f>'TO G'!D4</f>
        <v>AT 49</v>
      </c>
    </row>
    <row r="47" spans="2:2" ht="14" thickBot="1" x14ac:dyDescent="0.2">
      <c r="B47" s="2">
        <f>'TO G'!D5</f>
        <v>148</v>
      </c>
    </row>
    <row r="48" spans="2:2" x14ac:dyDescent="0.15">
      <c r="B48" s="12">
        <f>'TO G'!D6</f>
        <v>64</v>
      </c>
    </row>
    <row r="49" spans="2:2" x14ac:dyDescent="0.15">
      <c r="B49" s="1" t="str">
        <f>'TO G'!D7</f>
        <v>AT 17</v>
      </c>
    </row>
    <row r="50" spans="2:2" ht="14" thickBot="1" x14ac:dyDescent="0.2">
      <c r="B50" s="2">
        <f>'TO G'!D8</f>
        <v>91</v>
      </c>
    </row>
    <row r="51" spans="2:2" x14ac:dyDescent="0.15">
      <c r="B51" s="1">
        <f>'TO G'!D9</f>
        <v>66</v>
      </c>
    </row>
    <row r="52" spans="2:2" x14ac:dyDescent="0.15">
      <c r="B52" s="1" t="str">
        <f>'TO G'!D10</f>
        <v>AT 21</v>
      </c>
    </row>
    <row r="53" spans="2:2" ht="14" thickBot="1" x14ac:dyDescent="0.2">
      <c r="B53" s="1">
        <f>'TO G'!D11</f>
        <v>95</v>
      </c>
    </row>
    <row r="54" spans="2:2" x14ac:dyDescent="0.15">
      <c r="B54" s="12">
        <f>'TO G'!D12</f>
        <v>69</v>
      </c>
    </row>
    <row r="55" spans="2:2" x14ac:dyDescent="0.15">
      <c r="B55" s="1" t="str">
        <f>'TO G'!D13</f>
        <v>AT 23</v>
      </c>
    </row>
    <row r="56" spans="2:2" ht="14" thickBot="1" x14ac:dyDescent="0.2">
      <c r="B56" s="2">
        <f>'TO G'!D14</f>
        <v>96</v>
      </c>
    </row>
    <row r="57" spans="2:2" x14ac:dyDescent="0.15">
      <c r="B57" s="1">
        <f>'TO G'!D15</f>
        <v>79</v>
      </c>
    </row>
    <row r="58" spans="2:2" x14ac:dyDescent="0.15">
      <c r="B58" s="1" t="str">
        <f>'TO G'!D16</f>
        <v>AT 26</v>
      </c>
    </row>
    <row r="59" spans="2:2" ht="14" thickBot="1" x14ac:dyDescent="0.2">
      <c r="B59" s="1">
        <f>'TO G'!D17</f>
        <v>97</v>
      </c>
    </row>
    <row r="60" spans="2:2" x14ac:dyDescent="0.15">
      <c r="B60" s="12">
        <f>'TO G'!D18</f>
        <v>50</v>
      </c>
    </row>
    <row r="61" spans="2:2" x14ac:dyDescent="0.15">
      <c r="B61" s="1" t="str">
        <f>'TO G'!D19</f>
        <v>AT 42</v>
      </c>
    </row>
    <row r="62" spans="2:2" ht="14" thickBot="1" x14ac:dyDescent="0.2">
      <c r="B62" s="2">
        <f>'TO G'!D20</f>
        <v>98</v>
      </c>
    </row>
    <row r="63" spans="2:2" x14ac:dyDescent="0.15">
      <c r="B63" s="1">
        <f>'TO G'!D21</f>
        <v>83</v>
      </c>
    </row>
    <row r="64" spans="2:2" x14ac:dyDescent="0.15">
      <c r="B64" s="1" t="str">
        <f>'TO G'!D22</f>
        <v>AT 12</v>
      </c>
    </row>
    <row r="65" spans="2:2" ht="14" thickBot="1" x14ac:dyDescent="0.2">
      <c r="B65" s="2">
        <f>'TO G'!D23</f>
        <v>99</v>
      </c>
    </row>
    <row r="66" spans="2:2" x14ac:dyDescent="0.15">
      <c r="B66" s="13">
        <f>'TO G'!E3</f>
        <v>117</v>
      </c>
    </row>
    <row r="67" spans="2:2" x14ac:dyDescent="0.15">
      <c r="B67" s="10" t="str">
        <f>'TO G'!E4</f>
        <v>AT 48</v>
      </c>
    </row>
    <row r="68" spans="2:2" ht="14" thickBot="1" x14ac:dyDescent="0.2">
      <c r="B68" s="3">
        <f>'TO G'!E5</f>
        <v>150</v>
      </c>
    </row>
    <row r="69" spans="2:2" x14ac:dyDescent="0.15">
      <c r="B69" s="13">
        <f>'TO G'!E6</f>
        <v>84</v>
      </c>
    </row>
    <row r="70" spans="2:2" x14ac:dyDescent="0.15">
      <c r="B70" s="10" t="str">
        <f>'TO G'!E7</f>
        <v>AT 27</v>
      </c>
    </row>
    <row r="71" spans="2:2" ht="14" thickBot="1" x14ac:dyDescent="0.2">
      <c r="B71" s="3" t="str">
        <f>'TO G'!E8</f>
        <v>112-116</v>
      </c>
    </row>
    <row r="72" spans="2:2" x14ac:dyDescent="0.15">
      <c r="B72" s="10">
        <f>'TO G'!E9</f>
        <v>85</v>
      </c>
    </row>
    <row r="73" spans="2:2" x14ac:dyDescent="0.15">
      <c r="B73" s="10" t="str">
        <f>'TO G'!E10</f>
        <v>AT 47</v>
      </c>
    </row>
    <row r="74" spans="2:2" ht="14" thickBot="1" x14ac:dyDescent="0.2">
      <c r="B74" s="10">
        <f>'TO G'!E11</f>
        <v>134</v>
      </c>
    </row>
    <row r="75" spans="2:2" x14ac:dyDescent="0.15">
      <c r="B75" s="13">
        <f>'TO G'!E12</f>
        <v>86</v>
      </c>
    </row>
    <row r="76" spans="2:2" x14ac:dyDescent="0.15">
      <c r="B76" s="10" t="str">
        <f>'TO G'!E13</f>
        <v>AT 38</v>
      </c>
    </row>
    <row r="77" spans="2:2" ht="14" thickBot="1" x14ac:dyDescent="0.2">
      <c r="B77" s="3">
        <f>'TO G'!E14</f>
        <v>145</v>
      </c>
    </row>
    <row r="78" spans="2:2" x14ac:dyDescent="0.15">
      <c r="B78" s="10">
        <f>'TO G'!E15</f>
        <v>89</v>
      </c>
    </row>
    <row r="79" spans="2:2" x14ac:dyDescent="0.15">
      <c r="B79" s="10" t="str">
        <f>'TO G'!E16</f>
        <v>AT 41</v>
      </c>
    </row>
    <row r="80" spans="2:2" ht="14" thickBot="1" x14ac:dyDescent="0.2">
      <c r="B80" s="10">
        <f>'TO G'!E17</f>
        <v>146</v>
      </c>
    </row>
    <row r="81" spans="2:2" x14ac:dyDescent="0.15">
      <c r="B81" s="13">
        <f>'TO G'!E18</f>
        <v>50</v>
      </c>
    </row>
    <row r="82" spans="2:2" x14ac:dyDescent="0.15">
      <c r="B82" s="10" t="str">
        <f>'TO G'!E19</f>
        <v>AT 7</v>
      </c>
    </row>
    <row r="83" spans="2:2" ht="14" thickBot="1" x14ac:dyDescent="0.2">
      <c r="B83" s="3">
        <f>'TO G'!E20</f>
        <v>147</v>
      </c>
    </row>
    <row r="84" spans="2:2" x14ac:dyDescent="0.15">
      <c r="B84" s="10">
        <f>'TO G'!E21</f>
        <v>107</v>
      </c>
    </row>
    <row r="85" spans="2:2" x14ac:dyDescent="0.15">
      <c r="B85" s="10" t="str">
        <f>'TO G'!E22</f>
        <v>AT 46</v>
      </c>
    </row>
    <row r="86" spans="2:2" ht="14" thickBot="1" x14ac:dyDescent="0.2">
      <c r="B86" s="3">
        <f>'TO G'!E23</f>
        <v>149</v>
      </c>
    </row>
    <row r="87" spans="2:2" x14ac:dyDescent="0.15">
      <c r="B87" s="14">
        <f>'TO G'!F3</f>
        <v>109</v>
      </c>
    </row>
    <row r="88" spans="2:2" x14ac:dyDescent="0.15">
      <c r="B88" s="7">
        <f>'TO G'!F4</f>
        <v>110</v>
      </c>
    </row>
    <row r="89" spans="2:2" ht="14" thickBot="1" x14ac:dyDescent="0.2">
      <c r="B89" s="6" t="str">
        <f>'TO G'!F5</f>
        <v>NT XIV</v>
      </c>
    </row>
    <row r="90" spans="2:2" x14ac:dyDescent="0.15">
      <c r="B90" s="7">
        <f>'TO G'!F6</f>
        <v>16</v>
      </c>
    </row>
    <row r="91" spans="2:2" x14ac:dyDescent="0.15">
      <c r="B91" s="7">
        <f>'TO G'!F7</f>
        <v>16</v>
      </c>
    </row>
    <row r="92" spans="2:2" ht="14" thickBot="1" x14ac:dyDescent="0.2">
      <c r="B92" s="7" t="str">
        <f>'TO G'!F8</f>
        <v>NT VI</v>
      </c>
    </row>
    <row r="93" spans="2:2" x14ac:dyDescent="0.15">
      <c r="B93" s="14">
        <f>'TO G'!F9</f>
        <v>19</v>
      </c>
    </row>
    <row r="94" spans="2:2" x14ac:dyDescent="0.15">
      <c r="B94" s="7">
        <f>'TO G'!F10</f>
        <v>20</v>
      </c>
    </row>
    <row r="95" spans="2:2" ht="14" thickBot="1" x14ac:dyDescent="0.2">
      <c r="B95" s="6" t="str">
        <f>'TO G'!F11</f>
        <v>NT XI</v>
      </c>
    </row>
    <row r="96" spans="2:2" x14ac:dyDescent="0.15">
      <c r="B96" s="7">
        <f>'TO G'!F12</f>
        <v>24</v>
      </c>
    </row>
    <row r="97" spans="2:2" x14ac:dyDescent="0.15">
      <c r="B97" s="7">
        <f>'TO G'!F13</f>
        <v>24</v>
      </c>
    </row>
    <row r="98" spans="2:2" ht="14" thickBot="1" x14ac:dyDescent="0.2">
      <c r="B98" s="7" t="str">
        <f>'TO G'!F14</f>
        <v>NT VIII</v>
      </c>
    </row>
    <row r="99" spans="2:2" x14ac:dyDescent="0.15">
      <c r="B99" s="14">
        <f>'TO G'!F15</f>
        <v>26</v>
      </c>
    </row>
    <row r="100" spans="2:2" x14ac:dyDescent="0.15">
      <c r="B100" s="7">
        <f>'TO G'!F16</f>
        <v>26</v>
      </c>
    </row>
    <row r="101" spans="2:2" ht="14" thickBot="1" x14ac:dyDescent="0.2">
      <c r="B101" s="7" t="str">
        <f>'TO G'!F17</f>
        <v>NT XII</v>
      </c>
    </row>
    <row r="102" spans="2:2" x14ac:dyDescent="0.15">
      <c r="B102" s="14">
        <f>'TO G'!F18</f>
        <v>31</v>
      </c>
    </row>
    <row r="103" spans="2:2" x14ac:dyDescent="0.15">
      <c r="B103" s="7">
        <f>'TO G'!F19</f>
        <v>40</v>
      </c>
    </row>
    <row r="104" spans="2:2" ht="14" thickBot="1" x14ac:dyDescent="0.2">
      <c r="B104" s="7" t="str">
        <f>'TO G'!F20</f>
        <v>NT XIII</v>
      </c>
    </row>
    <row r="105" spans="2:2" x14ac:dyDescent="0.15">
      <c r="B105" s="14">
        <f>'TO G'!F21</f>
        <v>44</v>
      </c>
    </row>
    <row r="106" spans="2:2" x14ac:dyDescent="0.15">
      <c r="B106" s="1">
        <f>'TO G'!F22</f>
        <v>44</v>
      </c>
    </row>
    <row r="107" spans="2:2" ht="14" thickBot="1" x14ac:dyDescent="0.2">
      <c r="B107" s="2" t="str">
        <f>'TO G'!F23</f>
        <v>NT VII</v>
      </c>
    </row>
    <row r="108" spans="2:2" x14ac:dyDescent="0.15">
      <c r="B108" s="12">
        <f>'TO G'!H3</f>
        <v>109</v>
      </c>
    </row>
    <row r="109" spans="2:2" x14ac:dyDescent="0.15">
      <c r="B109" s="1">
        <f>'TO G'!H4</f>
        <v>112</v>
      </c>
    </row>
    <row r="110" spans="2:2" ht="14" thickBot="1" x14ac:dyDescent="0.2">
      <c r="B110" s="2" t="str">
        <f>'TO G'!H5</f>
        <v>NT XIV</v>
      </c>
    </row>
    <row r="111" spans="2:2" x14ac:dyDescent="0.15">
      <c r="B111" s="12">
        <f>'TO G'!H6</f>
        <v>71</v>
      </c>
    </row>
    <row r="112" spans="2:2" x14ac:dyDescent="0.15">
      <c r="B112" s="1">
        <f>'TO G'!H7</f>
        <v>71</v>
      </c>
    </row>
    <row r="113" spans="2:2" ht="14" thickBot="1" x14ac:dyDescent="0.2">
      <c r="B113" s="2" t="str">
        <f>'TO G'!H8</f>
        <v>NT VI</v>
      </c>
    </row>
    <row r="114" spans="2:2" x14ac:dyDescent="0.15">
      <c r="B114" s="1">
        <f>'TO G'!H9</f>
        <v>76</v>
      </c>
    </row>
    <row r="115" spans="2:2" x14ac:dyDescent="0.15">
      <c r="B115" s="1">
        <f>'TO G'!H10</f>
        <v>76</v>
      </c>
    </row>
    <row r="116" spans="2:2" ht="14" thickBot="1" x14ac:dyDescent="0.2">
      <c r="B116" s="1" t="str">
        <f>'TO G'!H11</f>
        <v>NT XI</v>
      </c>
    </row>
    <row r="117" spans="2:2" x14ac:dyDescent="0.15">
      <c r="B117" s="12">
        <f>'TO G'!H12</f>
        <v>111</v>
      </c>
    </row>
    <row r="118" spans="2:2" x14ac:dyDescent="0.15">
      <c r="B118" s="1">
        <f>'TO G'!H13</f>
        <v>119</v>
      </c>
    </row>
    <row r="119" spans="2:2" ht="14" thickBot="1" x14ac:dyDescent="0.2">
      <c r="B119" s="2" t="str">
        <f>'TO G'!H14</f>
        <v>NT VIII</v>
      </c>
    </row>
    <row r="120" spans="2:2" x14ac:dyDescent="0.15">
      <c r="B120" s="1">
        <f>'TO G'!H15</f>
        <v>120</v>
      </c>
    </row>
    <row r="121" spans="2:2" x14ac:dyDescent="0.15">
      <c r="B121" s="1">
        <f>'TO G'!H16</f>
        <v>122</v>
      </c>
    </row>
    <row r="122" spans="2:2" ht="14" thickBot="1" x14ac:dyDescent="0.2">
      <c r="B122" s="1" t="str">
        <f>'TO G'!H17</f>
        <v>NT XII</v>
      </c>
    </row>
    <row r="123" spans="2:2" x14ac:dyDescent="0.15">
      <c r="B123" s="12">
        <f>'TO G'!H18</f>
        <v>123</v>
      </c>
    </row>
    <row r="124" spans="2:2" x14ac:dyDescent="0.15">
      <c r="B124" s="1">
        <f>'TO G'!H19</f>
        <v>124</v>
      </c>
    </row>
    <row r="125" spans="2:2" ht="14" thickBot="1" x14ac:dyDescent="0.2">
      <c r="B125" s="2" t="str">
        <f>'TO G'!H20</f>
        <v>NT XIII</v>
      </c>
    </row>
    <row r="126" spans="2:2" x14ac:dyDescent="0.15">
      <c r="B126" s="1">
        <f>'TO G'!H21</f>
        <v>121</v>
      </c>
    </row>
    <row r="127" spans="2:2" x14ac:dyDescent="0.15">
      <c r="B127" s="1">
        <f>'TO G'!H22</f>
        <v>125</v>
      </c>
    </row>
    <row r="128" spans="2:2" ht="14" thickBot="1" x14ac:dyDescent="0.2">
      <c r="B128" s="2" t="str">
        <f>'TO G'!H23</f>
        <v>NT VII</v>
      </c>
    </row>
    <row r="129" spans="2:2" x14ac:dyDescent="0.15">
      <c r="B129" s="12">
        <f>'TO G'!J3</f>
        <v>109</v>
      </c>
    </row>
    <row r="130" spans="2:2" x14ac:dyDescent="0.15">
      <c r="B130" s="1" t="str">
        <f>'TO G'!J4</f>
        <v>113A</v>
      </c>
    </row>
    <row r="131" spans="2:2" ht="14" thickBot="1" x14ac:dyDescent="0.2">
      <c r="B131" s="2" t="str">
        <f>'TO G'!J5</f>
        <v>NT XIV</v>
      </c>
    </row>
    <row r="132" spans="2:2" x14ac:dyDescent="0.15">
      <c r="B132" s="12" t="str">
        <f>'TO G'!J6</f>
        <v>113B</v>
      </c>
    </row>
    <row r="133" spans="2:2" x14ac:dyDescent="0.15">
      <c r="B133" s="1">
        <f>'TO G'!J7</f>
        <v>115</v>
      </c>
    </row>
    <row r="134" spans="2:2" ht="14" thickBot="1" x14ac:dyDescent="0.2">
      <c r="B134" s="2" t="str">
        <f>'TO G'!J8</f>
        <v>NT VI</v>
      </c>
    </row>
    <row r="135" spans="2:2" x14ac:dyDescent="0.15">
      <c r="B135" s="1">
        <f>'TO G'!J9</f>
        <v>126</v>
      </c>
    </row>
    <row r="136" spans="2:2" x14ac:dyDescent="0.15">
      <c r="B136" s="1">
        <f>'TO G'!J10</f>
        <v>127</v>
      </c>
    </row>
    <row r="137" spans="2:2" ht="14" thickBot="1" x14ac:dyDescent="0.2">
      <c r="B137" s="1" t="str">
        <f>'TO G'!J11</f>
        <v>NT XI</v>
      </c>
    </row>
    <row r="138" spans="2:2" x14ac:dyDescent="0.15">
      <c r="B138" s="12">
        <f>'TO G'!J12</f>
        <v>130</v>
      </c>
    </row>
    <row r="139" spans="2:2" x14ac:dyDescent="0.15">
      <c r="B139" s="1">
        <f>'TO G'!J13</f>
        <v>132</v>
      </c>
    </row>
    <row r="140" spans="2:2" ht="14" thickBot="1" x14ac:dyDescent="0.2">
      <c r="B140" s="2" t="str">
        <f>'TO G'!J14</f>
        <v>NT VIII</v>
      </c>
    </row>
    <row r="141" spans="2:2" x14ac:dyDescent="0.15">
      <c r="B141" s="1">
        <f>'TO G'!J15</f>
        <v>131</v>
      </c>
    </row>
    <row r="142" spans="2:2" x14ac:dyDescent="0.15">
      <c r="B142" s="1">
        <f>'TO G'!J16</f>
        <v>131</v>
      </c>
    </row>
    <row r="143" spans="2:2" ht="14" thickBot="1" x14ac:dyDescent="0.2">
      <c r="B143" s="1" t="str">
        <f>'TO G'!J17</f>
        <v>NT XII</v>
      </c>
    </row>
    <row r="144" spans="2:2" x14ac:dyDescent="0.15">
      <c r="B144" s="12">
        <f>'TO G'!J18</f>
        <v>128</v>
      </c>
    </row>
    <row r="145" spans="2:2" x14ac:dyDescent="0.15">
      <c r="B145" s="1">
        <f>'TO G'!J19</f>
        <v>129</v>
      </c>
    </row>
    <row r="146" spans="2:2" ht="14" thickBot="1" x14ac:dyDescent="0.2">
      <c r="B146" s="2" t="str">
        <f>'TO G'!J20</f>
        <v>NT XIII</v>
      </c>
    </row>
    <row r="147" spans="2:2" x14ac:dyDescent="0.15">
      <c r="B147" s="1">
        <f>'TO G'!J21</f>
        <v>135</v>
      </c>
    </row>
    <row r="148" spans="2:2" x14ac:dyDescent="0.15">
      <c r="B148" s="1">
        <f>'TO G'!J22</f>
        <v>135</v>
      </c>
    </row>
    <row r="149" spans="2:2" ht="14" thickBot="1" x14ac:dyDescent="0.2">
      <c r="B149" s="2" t="str">
        <f>'TO G'!J23</f>
        <v>NT VII</v>
      </c>
    </row>
    <row r="150" spans="2:2" x14ac:dyDescent="0.15">
      <c r="B150" s="14">
        <f>'TO G'!L3</f>
        <v>109</v>
      </c>
    </row>
    <row r="151" spans="2:2" x14ac:dyDescent="0.15">
      <c r="B151" s="7">
        <f>'TO G'!L4</f>
        <v>114</v>
      </c>
    </row>
    <row r="152" spans="2:2" ht="14" thickBot="1" x14ac:dyDescent="0.2">
      <c r="B152" s="6" t="str">
        <f>'TO G'!L5</f>
        <v>NT XIV</v>
      </c>
    </row>
    <row r="153" spans="2:2" x14ac:dyDescent="0.15">
      <c r="B153" s="14">
        <f>'TO G'!L6</f>
        <v>136</v>
      </c>
    </row>
    <row r="154" spans="2:2" x14ac:dyDescent="0.15">
      <c r="B154" s="7">
        <f>'TO G'!L7</f>
        <v>137</v>
      </c>
    </row>
    <row r="155" spans="2:2" ht="14" thickBot="1" x14ac:dyDescent="0.2">
      <c r="B155" s="6" t="str">
        <f>'TO G'!L8</f>
        <v>NT VI</v>
      </c>
    </row>
    <row r="156" spans="2:2" x14ac:dyDescent="0.15">
      <c r="B156" s="7">
        <f>'TO G'!L9</f>
        <v>138</v>
      </c>
    </row>
    <row r="157" spans="2:2" x14ac:dyDescent="0.15">
      <c r="B157" s="7">
        <f>'TO G'!L10</f>
        <v>138</v>
      </c>
    </row>
    <row r="158" spans="2:2" ht="14" thickBot="1" x14ac:dyDescent="0.2">
      <c r="B158" s="7" t="str">
        <f>'TO G'!L11</f>
        <v>NT XI</v>
      </c>
    </row>
    <row r="159" spans="2:2" x14ac:dyDescent="0.15">
      <c r="B159" s="14">
        <f>'TO G'!L12</f>
        <v>139</v>
      </c>
    </row>
    <row r="160" spans="2:2" x14ac:dyDescent="0.15">
      <c r="B160" s="7">
        <f>'TO G'!L13</f>
        <v>140</v>
      </c>
    </row>
    <row r="161" spans="2:2" ht="14" thickBot="1" x14ac:dyDescent="0.2">
      <c r="B161" s="6" t="str">
        <f>'TO G'!L14</f>
        <v>NT VIII</v>
      </c>
    </row>
    <row r="162" spans="2:2" x14ac:dyDescent="0.15">
      <c r="B162" s="7">
        <f>'TO G'!L15</f>
        <v>143</v>
      </c>
    </row>
    <row r="163" spans="2:2" x14ac:dyDescent="0.15">
      <c r="B163" s="7">
        <f>'TO G'!L16</f>
        <v>143</v>
      </c>
    </row>
    <row r="164" spans="2:2" ht="14" thickBot="1" x14ac:dyDescent="0.2">
      <c r="B164" s="7" t="str">
        <f>'TO G'!L17</f>
        <v>NT XII</v>
      </c>
    </row>
    <row r="165" spans="2:2" x14ac:dyDescent="0.15">
      <c r="B165" s="14">
        <f>'TO G'!L18</f>
        <v>141</v>
      </c>
    </row>
    <row r="166" spans="2:2" x14ac:dyDescent="0.15">
      <c r="B166" s="7">
        <f>'TO G'!L19</f>
        <v>142</v>
      </c>
    </row>
    <row r="167" spans="2:2" ht="14" thickBot="1" x14ac:dyDescent="0.2">
      <c r="B167" s="6" t="str">
        <f>'TO G'!L20</f>
        <v>NT XIII</v>
      </c>
    </row>
    <row r="168" spans="2:2" x14ac:dyDescent="0.15">
      <c r="B168" s="7">
        <f>'TO G'!L21</f>
        <v>144</v>
      </c>
    </row>
    <row r="169" spans="2:2" x14ac:dyDescent="0.15">
      <c r="B169" s="7">
        <f>'TO G'!L22</f>
        <v>144</v>
      </c>
    </row>
    <row r="170" spans="2:2" ht="14" thickBot="1" x14ac:dyDescent="0.2">
      <c r="B170" s="6" t="str">
        <f>'TO G'!L23</f>
        <v>NT VII</v>
      </c>
    </row>
    <row r="171" spans="2:2" x14ac:dyDescent="0.15">
      <c r="B171" s="14">
        <f>'TO G'!N3</f>
        <v>1</v>
      </c>
    </row>
    <row r="172" spans="2:2" x14ac:dyDescent="0.15">
      <c r="B172" s="7">
        <f>'TO G'!N4</f>
        <v>2</v>
      </c>
    </row>
    <row r="173" spans="2:2" ht="14" thickBot="1" x14ac:dyDescent="0.2">
      <c r="B173" s="6">
        <f>'TO G'!N5</f>
        <v>3</v>
      </c>
    </row>
    <row r="174" spans="2:2" x14ac:dyDescent="0.15">
      <c r="B174" s="14">
        <f>'TO G'!N6</f>
        <v>6</v>
      </c>
    </row>
    <row r="175" spans="2:2" x14ac:dyDescent="0.15">
      <c r="B175" s="7" t="str">
        <f>'TO G'!N7</f>
        <v>9A</v>
      </c>
    </row>
    <row r="176" spans="2:2" ht="14" thickBot="1" x14ac:dyDescent="0.2">
      <c r="B176" s="6" t="str">
        <f>'TO G'!N8</f>
        <v>9A</v>
      </c>
    </row>
    <row r="177" spans="2:2" x14ac:dyDescent="0.15">
      <c r="B177" s="7" t="str">
        <f>'TO G'!N9</f>
        <v>9B</v>
      </c>
    </row>
    <row r="178" spans="2:2" x14ac:dyDescent="0.15">
      <c r="B178" s="7" t="str">
        <f>'TO G'!N10</f>
        <v>9B</v>
      </c>
    </row>
    <row r="179" spans="2:2" ht="14" thickBot="1" x14ac:dyDescent="0.2">
      <c r="B179" s="7">
        <f>'TO G'!N11</f>
        <v>10</v>
      </c>
    </row>
    <row r="180" spans="2:2" x14ac:dyDescent="0.15">
      <c r="B180" s="14">
        <f>'TO G'!N12</f>
        <v>15</v>
      </c>
    </row>
    <row r="181" spans="2:2" x14ac:dyDescent="0.15">
      <c r="B181" s="7">
        <f>'TO G'!N13</f>
        <v>23</v>
      </c>
    </row>
    <row r="182" spans="2:2" ht="14" thickBot="1" x14ac:dyDescent="0.2">
      <c r="B182" s="6">
        <f>'TO G'!N14</f>
        <v>65</v>
      </c>
    </row>
    <row r="183" spans="2:2" x14ac:dyDescent="0.15">
      <c r="B183" s="7">
        <f>'TO G'!N15</f>
        <v>67</v>
      </c>
    </row>
    <row r="184" spans="2:2" x14ac:dyDescent="0.15">
      <c r="B184" s="7">
        <f>'TO G'!N16</f>
        <v>67</v>
      </c>
    </row>
    <row r="185" spans="2:2" ht="14" thickBot="1" x14ac:dyDescent="0.2">
      <c r="B185" s="7">
        <f>'TO G'!N17</f>
        <v>67</v>
      </c>
    </row>
    <row r="186" spans="2:2" x14ac:dyDescent="0.15">
      <c r="B186" s="14">
        <f>'TO G'!N18</f>
        <v>19</v>
      </c>
    </row>
    <row r="187" spans="2:2" x14ac:dyDescent="0.15">
      <c r="B187" s="7">
        <f>'TO G'!N19</f>
        <v>20</v>
      </c>
    </row>
    <row r="188" spans="2:2" ht="14" thickBot="1" x14ac:dyDescent="0.2">
      <c r="B188" s="6">
        <f>'TO G'!N20</f>
        <v>29</v>
      </c>
    </row>
    <row r="189" spans="2:2" x14ac:dyDescent="0.15">
      <c r="B189" s="7">
        <f>'TO G'!N21</f>
        <v>30</v>
      </c>
    </row>
    <row r="190" spans="2:2" x14ac:dyDescent="0.15">
      <c r="B190" s="7">
        <f>'TO G'!N22</f>
        <v>30</v>
      </c>
    </row>
    <row r="191" spans="2:2" ht="14" thickBot="1" x14ac:dyDescent="0.2">
      <c r="B191" s="6">
        <f>'TO G'!N23</f>
        <v>30</v>
      </c>
    </row>
    <row r="192" spans="2:2" x14ac:dyDescent="0.15">
      <c r="B192" s="14">
        <f>'TO G'!O3</f>
        <v>65</v>
      </c>
    </row>
    <row r="193" spans="2:2" x14ac:dyDescent="0.15">
      <c r="B193" s="7">
        <f>'TO G'!O4</f>
        <v>75</v>
      </c>
    </row>
    <row r="194" spans="2:2" ht="14" thickBot="1" x14ac:dyDescent="0.2">
      <c r="B194" s="6">
        <f>'TO G'!O5</f>
        <v>75</v>
      </c>
    </row>
    <row r="195" spans="2:2" x14ac:dyDescent="0.15">
      <c r="B195" s="14">
        <f>'TO G'!O6</f>
        <v>0</v>
      </c>
    </row>
    <row r="196" spans="2:2" x14ac:dyDescent="0.15">
      <c r="B196" s="77">
        <f>'TO G'!O7</f>
        <v>0</v>
      </c>
    </row>
    <row r="197" spans="2:2" ht="14" thickBot="1" x14ac:dyDescent="0.2">
      <c r="B197" s="6">
        <f>'TO G'!O8</f>
        <v>0</v>
      </c>
    </row>
    <row r="198" spans="2:2" x14ac:dyDescent="0.15">
      <c r="B198" s="48">
        <f>'TO G'!O9</f>
        <v>0</v>
      </c>
    </row>
    <row r="199" spans="2:2" x14ac:dyDescent="0.15">
      <c r="B199" s="48">
        <f>'TO G'!O10</f>
        <v>0</v>
      </c>
    </row>
    <row r="200" spans="2:2" ht="14" thickBot="1" x14ac:dyDescent="0.2">
      <c r="B200" s="7">
        <f>'TO G'!O11</f>
        <v>0</v>
      </c>
    </row>
    <row r="201" spans="2:2" x14ac:dyDescent="0.15">
      <c r="B201" s="47">
        <f>'TO G'!O12</f>
        <v>17</v>
      </c>
    </row>
    <row r="202" spans="2:2" x14ac:dyDescent="0.15">
      <c r="B202" s="48">
        <f>'TO G'!O13</f>
        <v>17</v>
      </c>
    </row>
    <row r="203" spans="2:2" ht="14" thickBot="1" x14ac:dyDescent="0.2">
      <c r="B203" s="46">
        <f>'TO G'!O14</f>
        <v>17</v>
      </c>
    </row>
    <row r="204" spans="2:2" x14ac:dyDescent="0.15">
      <c r="B204" s="47">
        <f>'TO G'!O15</f>
        <v>17</v>
      </c>
    </row>
    <row r="205" spans="2:2" x14ac:dyDescent="0.15">
      <c r="B205" s="48">
        <f>'TO G'!O16</f>
        <v>17</v>
      </c>
    </row>
    <row r="206" spans="2:2" ht="14" thickBot="1" x14ac:dyDescent="0.2">
      <c r="B206" s="46">
        <f>'TO G'!O17</f>
        <v>17</v>
      </c>
    </row>
    <row r="207" spans="2:2" x14ac:dyDescent="0.15">
      <c r="B207" s="47">
        <f>'TO G'!O18</f>
        <v>0</v>
      </c>
    </row>
    <row r="208" spans="2:2" x14ac:dyDescent="0.15">
      <c r="B208" s="48">
        <f>'TO G'!O19</f>
        <v>0</v>
      </c>
    </row>
    <row r="209" spans="2:2" ht="14" thickBot="1" x14ac:dyDescent="0.2">
      <c r="B209" s="46">
        <f>'TO G'!O20</f>
        <v>0</v>
      </c>
    </row>
    <row r="210" spans="2:2" x14ac:dyDescent="0.15">
      <c r="B210" s="7">
        <f>'TO G'!O21</f>
        <v>0</v>
      </c>
    </row>
    <row r="211" spans="2:2" x14ac:dyDescent="0.15">
      <c r="B211" s="48">
        <f>'TO G'!O22</f>
        <v>0</v>
      </c>
    </row>
    <row r="212" spans="2:2" ht="14" thickBot="1" x14ac:dyDescent="0.2">
      <c r="B212" s="46">
        <f>'TO G'!O23</f>
        <v>0</v>
      </c>
    </row>
    <row r="213" spans="2:2" x14ac:dyDescent="0.15">
      <c r="B213" s="12">
        <f>'TO G'!P3</f>
        <v>12</v>
      </c>
    </row>
    <row r="214" spans="2:2" x14ac:dyDescent="0.15">
      <c r="B214" s="1">
        <f>'TO G'!P4</f>
        <v>15</v>
      </c>
    </row>
    <row r="215" spans="2:2" ht="14" thickBot="1" x14ac:dyDescent="0.2">
      <c r="B215" s="2">
        <f>'TO G'!P5</f>
        <v>23</v>
      </c>
    </row>
    <row r="216" spans="2:2" x14ac:dyDescent="0.15">
      <c r="B216" s="12">
        <f>'TO G'!P6</f>
        <v>34</v>
      </c>
    </row>
    <row r="217" spans="2:2" x14ac:dyDescent="0.15">
      <c r="B217" s="1">
        <f>'TO G'!P7</f>
        <v>34</v>
      </c>
    </row>
    <row r="218" spans="2:2" ht="14" thickBot="1" x14ac:dyDescent="0.2">
      <c r="B218" s="2">
        <f>'TO G'!P8</f>
        <v>34</v>
      </c>
    </row>
    <row r="219" spans="2:2" x14ac:dyDescent="0.15">
      <c r="B219" s="1">
        <f>'TO G'!P9</f>
        <v>36</v>
      </c>
    </row>
    <row r="220" spans="2:2" x14ac:dyDescent="0.15">
      <c r="B220" s="1">
        <f>'TO G'!P10</f>
        <v>36</v>
      </c>
    </row>
    <row r="221" spans="2:2" ht="14" thickBot="1" x14ac:dyDescent="0.2">
      <c r="B221" s="1">
        <f>'TO G'!P11</f>
        <v>36</v>
      </c>
    </row>
    <row r="222" spans="2:2" x14ac:dyDescent="0.15">
      <c r="B222" s="12">
        <f>'TO G'!P12</f>
        <v>37</v>
      </c>
    </row>
    <row r="223" spans="2:2" x14ac:dyDescent="0.15">
      <c r="B223" s="1">
        <f>'TO G'!P13</f>
        <v>37</v>
      </c>
    </row>
    <row r="224" spans="2:2" ht="14" thickBot="1" x14ac:dyDescent="0.2">
      <c r="B224" s="2">
        <f>'TO G'!P14</f>
        <v>38</v>
      </c>
    </row>
    <row r="225" spans="2:2" x14ac:dyDescent="0.15">
      <c r="B225" s="1">
        <f>'TO G'!P15</f>
        <v>43</v>
      </c>
    </row>
    <row r="226" spans="2:2" x14ac:dyDescent="0.15">
      <c r="B226" s="1">
        <f>'TO G'!P16</f>
        <v>43</v>
      </c>
    </row>
    <row r="227" spans="2:2" ht="14" thickBot="1" x14ac:dyDescent="0.2">
      <c r="B227" s="1">
        <f>'TO G'!P17</f>
        <v>43</v>
      </c>
    </row>
    <row r="228" spans="2:2" x14ac:dyDescent="0.15">
      <c r="B228" s="12">
        <f>'TO G'!P18</f>
        <v>0</v>
      </c>
    </row>
    <row r="229" spans="2:2" x14ac:dyDescent="0.15">
      <c r="B229" s="1">
        <f>'TO G'!P19</f>
        <v>51</v>
      </c>
    </row>
    <row r="230" spans="2:2" ht="14" thickBot="1" x14ac:dyDescent="0.2">
      <c r="B230" s="2">
        <f>'TO G'!P20</f>
        <v>57</v>
      </c>
    </row>
    <row r="231" spans="2:2" x14ac:dyDescent="0.15">
      <c r="B231" s="1">
        <f>'TO G'!P21</f>
        <v>58</v>
      </c>
    </row>
    <row r="232" spans="2:2" x14ac:dyDescent="0.15">
      <c r="B232" s="1">
        <f>'TO G'!P22</f>
        <v>58</v>
      </c>
    </row>
    <row r="233" spans="2:2" ht="14" thickBot="1" x14ac:dyDescent="0.2">
      <c r="B233" s="2">
        <f>'TO G'!P23</f>
        <v>59</v>
      </c>
    </row>
    <row r="234" spans="2:2" x14ac:dyDescent="0.15">
      <c r="B234" s="44">
        <f>'TO G'!Q3</f>
        <v>67</v>
      </c>
    </row>
    <row r="235" spans="2:2" x14ac:dyDescent="0.15">
      <c r="B235" s="45">
        <f>'TO G'!Q4</f>
        <v>67</v>
      </c>
    </row>
    <row r="236" spans="2:2" ht="14" thickBot="1" x14ac:dyDescent="0.2">
      <c r="B236" s="46">
        <f>'TO G'!Q5</f>
        <v>67</v>
      </c>
    </row>
    <row r="237" spans="2:2" x14ac:dyDescent="0.15">
      <c r="B237" s="47">
        <f>'TO G'!Q6</f>
        <v>0</v>
      </c>
    </row>
    <row r="238" spans="2:2" x14ac:dyDescent="0.15">
      <c r="B238" s="45">
        <f>'TO G'!Q7</f>
        <v>0</v>
      </c>
    </row>
    <row r="239" spans="2:2" ht="14" thickBot="1" x14ac:dyDescent="0.2">
      <c r="B239" s="46">
        <f>'TO G'!Q8</f>
        <v>0</v>
      </c>
    </row>
    <row r="240" spans="2:2" x14ac:dyDescent="0.15">
      <c r="B240" s="45">
        <f>'TO G'!Q9</f>
        <v>0</v>
      </c>
    </row>
    <row r="241" spans="2:2" x14ac:dyDescent="0.15">
      <c r="B241" s="45">
        <f>'TO G'!Q10</f>
        <v>0</v>
      </c>
    </row>
    <row r="242" spans="2:2" ht="14" thickBot="1" x14ac:dyDescent="0.2">
      <c r="B242" s="48">
        <f>'TO G'!Q11</f>
        <v>0</v>
      </c>
    </row>
    <row r="243" spans="2:2" x14ac:dyDescent="0.15">
      <c r="B243" s="44">
        <f>'TO G'!Q12</f>
        <v>0</v>
      </c>
    </row>
    <row r="244" spans="2:2" x14ac:dyDescent="0.15">
      <c r="B244" s="45">
        <f>'TO G'!Q13</f>
        <v>0</v>
      </c>
    </row>
    <row r="245" spans="2:2" ht="14" thickBot="1" x14ac:dyDescent="0.2">
      <c r="B245" s="6">
        <f>'TO G'!Q14</f>
        <v>0</v>
      </c>
    </row>
    <row r="246" spans="2:2" x14ac:dyDescent="0.15">
      <c r="B246" s="45">
        <f>'TO G'!Q15</f>
        <v>0</v>
      </c>
    </row>
    <row r="247" spans="2:2" x14ac:dyDescent="0.15">
      <c r="B247" s="45">
        <f>'TO G'!Q16</f>
        <v>0</v>
      </c>
    </row>
    <row r="248" spans="2:2" ht="14" thickBot="1" x14ac:dyDescent="0.2">
      <c r="B248" s="48">
        <f>'TO G'!Q17</f>
        <v>0</v>
      </c>
    </row>
    <row r="249" spans="2:2" x14ac:dyDescent="0.15">
      <c r="B249" s="44">
        <f>'TO G'!Q18</f>
        <v>49</v>
      </c>
    </row>
    <row r="250" spans="2:2" x14ac:dyDescent="0.15">
      <c r="B250" s="45">
        <f>'TO G'!Q19</f>
        <v>51</v>
      </c>
    </row>
    <row r="251" spans="2:2" ht="14" thickBot="1" x14ac:dyDescent="0.2">
      <c r="B251" s="46">
        <f>'TO G'!Q20</f>
        <v>57</v>
      </c>
    </row>
    <row r="252" spans="2:2" x14ac:dyDescent="0.15">
      <c r="B252" s="45">
        <f>'TO G'!Q21</f>
        <v>0</v>
      </c>
    </row>
    <row r="253" spans="2:2" x14ac:dyDescent="0.15">
      <c r="B253" s="45">
        <f>'TO G'!Q22</f>
        <v>0</v>
      </c>
    </row>
    <row r="254" spans="2:2" ht="14" thickBot="1" x14ac:dyDescent="0.2">
      <c r="B254" s="46">
        <f>'TO G'!Q23</f>
        <v>0</v>
      </c>
    </row>
    <row r="255" spans="2:2" x14ac:dyDescent="0.15">
      <c r="B255" s="49">
        <f>'TO G'!R3</f>
        <v>17</v>
      </c>
    </row>
    <row r="256" spans="2:2" x14ac:dyDescent="0.15">
      <c r="B256" s="50">
        <f>'TO G'!R4</f>
        <v>17</v>
      </c>
    </row>
    <row r="257" spans="2:2" ht="14" thickBot="1" x14ac:dyDescent="0.2">
      <c r="B257" s="46">
        <f>'TO G'!R5</f>
        <v>17</v>
      </c>
    </row>
    <row r="258" spans="2:2" x14ac:dyDescent="0.15">
      <c r="B258" s="47">
        <f>'TO G'!R6</f>
        <v>68</v>
      </c>
    </row>
    <row r="259" spans="2:2" x14ac:dyDescent="0.15">
      <c r="B259" s="50">
        <f>'TO G'!R7</f>
        <v>68</v>
      </c>
    </row>
    <row r="260" spans="2:2" ht="14" thickBot="1" x14ac:dyDescent="0.2">
      <c r="B260" s="46">
        <f>'TO G'!R8</f>
        <v>68</v>
      </c>
    </row>
    <row r="261" spans="2:2" x14ac:dyDescent="0.15">
      <c r="B261" s="50">
        <f>'TO G'!R9</f>
        <v>72</v>
      </c>
    </row>
    <row r="262" spans="2:2" x14ac:dyDescent="0.15">
      <c r="B262" s="50">
        <f>'TO G'!R10</f>
        <v>72</v>
      </c>
    </row>
    <row r="263" spans="2:2" ht="14" thickBot="1" x14ac:dyDescent="0.2">
      <c r="B263" s="48">
        <f>'TO G'!R11</f>
        <v>72</v>
      </c>
    </row>
    <row r="264" spans="2:2" x14ac:dyDescent="0.15">
      <c r="B264" s="49">
        <f>'TO G'!R12</f>
        <v>77</v>
      </c>
    </row>
    <row r="265" spans="2:2" x14ac:dyDescent="0.15">
      <c r="B265" s="50">
        <f>'TO G'!R13</f>
        <v>77</v>
      </c>
    </row>
    <row r="266" spans="2:2" ht="14" thickBot="1" x14ac:dyDescent="0.2">
      <c r="B266" s="46">
        <f>'TO G'!R14</f>
        <v>77</v>
      </c>
    </row>
    <row r="267" spans="2:2" x14ac:dyDescent="0.15">
      <c r="B267" s="50">
        <f>'TO G'!R15</f>
        <v>77</v>
      </c>
    </row>
    <row r="268" spans="2:2" x14ac:dyDescent="0.15">
      <c r="B268" s="50">
        <f>'TO G'!R16</f>
        <v>77</v>
      </c>
    </row>
    <row r="269" spans="2:2" ht="14" thickBot="1" x14ac:dyDescent="0.2">
      <c r="B269" s="7">
        <f>'TO G'!R17</f>
        <v>77</v>
      </c>
    </row>
    <row r="270" spans="2:2" x14ac:dyDescent="0.15">
      <c r="B270" s="49">
        <f>'TO G'!R18</f>
        <v>78</v>
      </c>
    </row>
    <row r="271" spans="2:2" x14ac:dyDescent="0.15">
      <c r="B271" s="50">
        <f>'TO G'!R19</f>
        <v>82</v>
      </c>
    </row>
    <row r="272" spans="2:2" ht="14" thickBot="1" x14ac:dyDescent="0.2">
      <c r="B272" s="46">
        <f>'TO G'!R20</f>
        <v>100</v>
      </c>
    </row>
    <row r="273" spans="2:2" x14ac:dyDescent="0.15">
      <c r="B273" s="50">
        <f>'TO G'!R21</f>
        <v>101</v>
      </c>
    </row>
    <row r="274" spans="2:2" x14ac:dyDescent="0.15">
      <c r="B274" s="50">
        <f>'TO G'!R22</f>
        <v>101</v>
      </c>
    </row>
    <row r="275" spans="2:2" ht="14" thickBot="1" x14ac:dyDescent="0.2">
      <c r="B275" s="46">
        <f>'TO G'!R23</f>
        <v>101</v>
      </c>
    </row>
    <row r="276" spans="2:2" x14ac:dyDescent="0.15">
      <c r="B276" s="49">
        <f>'TO G'!S3</f>
        <v>88</v>
      </c>
    </row>
    <row r="277" spans="2:2" x14ac:dyDescent="0.15">
      <c r="B277" s="50">
        <f>'TO G'!S4</f>
        <v>88</v>
      </c>
    </row>
    <row r="278" spans="2:2" ht="14" thickBot="1" x14ac:dyDescent="0.2">
      <c r="B278" s="46">
        <f>'TO G'!S5</f>
        <v>88</v>
      </c>
    </row>
    <row r="279" spans="2:2" x14ac:dyDescent="0.15">
      <c r="B279" s="47">
        <f>'TO G'!S6</f>
        <v>0</v>
      </c>
    </row>
    <row r="280" spans="2:2" x14ac:dyDescent="0.15">
      <c r="B280" s="50">
        <f>'TO G'!S7</f>
        <v>0</v>
      </c>
    </row>
    <row r="281" spans="2:2" ht="14" thickBot="1" x14ac:dyDescent="0.2">
      <c r="B281" s="46">
        <f>'TO G'!S8</f>
        <v>0</v>
      </c>
    </row>
    <row r="282" spans="2:2" x14ac:dyDescent="0.15">
      <c r="B282" s="50">
        <f>'TO G'!S9</f>
        <v>0</v>
      </c>
    </row>
    <row r="283" spans="2:2" x14ac:dyDescent="0.15">
      <c r="B283" s="50">
        <f>'TO G'!S10</f>
        <v>0</v>
      </c>
    </row>
    <row r="284" spans="2:2" ht="14" thickBot="1" x14ac:dyDescent="0.2">
      <c r="B284" s="48">
        <f>'TO G'!S11</f>
        <v>0</v>
      </c>
    </row>
    <row r="285" spans="2:2" x14ac:dyDescent="0.15">
      <c r="B285" s="49">
        <f>'TO G'!S12</f>
        <v>0</v>
      </c>
    </row>
    <row r="286" spans="2:2" x14ac:dyDescent="0.15">
      <c r="B286" s="50">
        <f>'TO G'!S13</f>
        <v>0</v>
      </c>
    </row>
    <row r="287" spans="2:2" ht="14" thickBot="1" x14ac:dyDescent="0.2">
      <c r="B287" s="46">
        <f>'TO G'!S14</f>
        <v>0</v>
      </c>
    </row>
    <row r="288" spans="2:2" x14ac:dyDescent="0.15">
      <c r="B288" s="50">
        <f>'TO G'!S15</f>
        <v>0</v>
      </c>
    </row>
    <row r="289" spans="2:2" x14ac:dyDescent="0.15">
      <c r="B289" s="50">
        <f>'TO G'!S16</f>
        <v>0</v>
      </c>
    </row>
    <row r="290" spans="2:2" ht="14" thickBot="1" x14ac:dyDescent="0.2">
      <c r="B290" s="7">
        <f>'TO G'!S17</f>
        <v>0</v>
      </c>
    </row>
    <row r="291" spans="2:2" x14ac:dyDescent="0.15">
      <c r="B291" s="49">
        <f>'TO G'!S18</f>
        <v>0</v>
      </c>
    </row>
    <row r="292" spans="2:2" x14ac:dyDescent="0.15">
      <c r="B292" s="50">
        <f>'TO G'!S19</f>
        <v>0</v>
      </c>
    </row>
    <row r="293" spans="2:2" ht="14" thickBot="1" x14ac:dyDescent="0.2">
      <c r="B293" s="46">
        <f>'TO G'!S20</f>
        <v>0</v>
      </c>
    </row>
    <row r="294" spans="2:2" x14ac:dyDescent="0.15">
      <c r="B294" s="50">
        <f>'TO G'!S21</f>
        <v>0</v>
      </c>
    </row>
    <row r="295" spans="2:2" x14ac:dyDescent="0.15">
      <c r="B295" s="50">
        <f>'TO G'!S22</f>
        <v>0</v>
      </c>
    </row>
    <row r="296" spans="2:2" ht="14" thickBot="1" x14ac:dyDescent="0.2">
      <c r="B296" s="46">
        <f>'TO G'!S23</f>
        <v>0</v>
      </c>
    </row>
    <row r="297" spans="2:2" x14ac:dyDescent="0.15">
      <c r="B297" s="12">
        <f>'TO G'!T3</f>
        <v>29</v>
      </c>
    </row>
    <row r="298" spans="2:2" x14ac:dyDescent="0.15">
      <c r="B298" s="1">
        <f>'TO G'!T4</f>
        <v>49</v>
      </c>
    </row>
    <row r="299" spans="2:2" ht="14" thickBot="1" x14ac:dyDescent="0.2">
      <c r="B299" s="2">
        <f>'TO G'!T5</f>
        <v>49</v>
      </c>
    </row>
    <row r="300" spans="2:2" x14ac:dyDescent="0.15">
      <c r="B300" s="12">
        <f>'TO G'!T6</f>
        <v>102</v>
      </c>
    </row>
    <row r="301" spans="2:2" x14ac:dyDescent="0.15">
      <c r="B301" s="1">
        <f>'TO G'!T7</f>
        <v>102</v>
      </c>
    </row>
    <row r="302" spans="2:2" ht="14" thickBot="1" x14ac:dyDescent="0.2">
      <c r="B302" s="2">
        <f>'TO G'!T8</f>
        <v>102</v>
      </c>
    </row>
    <row r="303" spans="2:2" x14ac:dyDescent="0.15">
      <c r="B303" s="1">
        <f>'TO G'!T9</f>
        <v>103</v>
      </c>
    </row>
    <row r="304" spans="2:2" x14ac:dyDescent="0.15">
      <c r="B304" s="1">
        <f>'TO G'!T10</f>
        <v>103</v>
      </c>
    </row>
    <row r="305" spans="2:2" ht="14" thickBot="1" x14ac:dyDescent="0.2">
      <c r="B305" s="1">
        <f>'TO G'!T11</f>
        <v>103</v>
      </c>
    </row>
    <row r="306" spans="2:2" x14ac:dyDescent="0.15">
      <c r="B306" s="12">
        <f>'TO G'!T12</f>
        <v>104</v>
      </c>
    </row>
    <row r="307" spans="2:2" x14ac:dyDescent="0.15">
      <c r="B307" s="1">
        <f>'TO G'!T13</f>
        <v>104</v>
      </c>
    </row>
    <row r="308" spans="2:2" ht="14" thickBot="1" x14ac:dyDescent="0.2">
      <c r="B308" s="2">
        <f>'TO G'!T14</f>
        <v>104</v>
      </c>
    </row>
    <row r="309" spans="2:2" x14ac:dyDescent="0.15">
      <c r="B309" s="1">
        <f>'TO G'!T15</f>
        <v>105</v>
      </c>
    </row>
    <row r="310" spans="2:2" x14ac:dyDescent="0.15">
      <c r="B310" s="1">
        <f>'TO G'!T16</f>
        <v>105</v>
      </c>
    </row>
    <row r="311" spans="2:2" ht="14" thickBot="1" x14ac:dyDescent="0.2">
      <c r="B311" s="1">
        <f>'TO G'!T17</f>
        <v>105</v>
      </c>
    </row>
    <row r="312" spans="2:2" x14ac:dyDescent="0.15">
      <c r="B312" s="12">
        <f>'TO G'!T18</f>
        <v>106</v>
      </c>
    </row>
    <row r="313" spans="2:2" x14ac:dyDescent="0.15">
      <c r="B313" s="1">
        <f>'TO G'!T19</f>
        <v>106</v>
      </c>
    </row>
    <row r="314" spans="2:2" ht="14" thickBot="1" x14ac:dyDescent="0.2">
      <c r="B314" s="2">
        <f>'TO G'!T20</f>
        <v>106</v>
      </c>
    </row>
    <row r="315" spans="2:2" x14ac:dyDescent="0.15">
      <c r="B315" s="1">
        <f>'TO G'!T21</f>
        <v>108</v>
      </c>
    </row>
    <row r="316" spans="2:2" x14ac:dyDescent="0.15">
      <c r="B316" s="1">
        <f>'TO G'!T22</f>
        <v>108</v>
      </c>
    </row>
    <row r="317" spans="2:2" ht="14" thickBot="1" x14ac:dyDescent="0.2">
      <c r="B317" s="2">
        <f>'TO G'!T23</f>
        <v>108</v>
      </c>
    </row>
    <row r="318" spans="2:2" x14ac:dyDescent="0.15">
      <c r="B318" s="13">
        <f>'TO G'!U3</f>
        <v>103</v>
      </c>
    </row>
    <row r="319" spans="2:2" x14ac:dyDescent="0.15">
      <c r="B319" s="54">
        <f>'TO G'!U4</f>
        <v>103</v>
      </c>
    </row>
    <row r="320" spans="2:2" ht="14" thickBot="1" x14ac:dyDescent="0.2">
      <c r="B320" s="55">
        <f>'TO G'!U5</f>
        <v>103</v>
      </c>
    </row>
    <row r="321" spans="2:2" x14ac:dyDescent="0.15">
      <c r="B321" s="56">
        <f>'TO G'!U6</f>
        <v>0</v>
      </c>
    </row>
    <row r="322" spans="2:2" x14ac:dyDescent="0.15">
      <c r="B322" s="54">
        <f>'TO G'!U7</f>
        <v>0</v>
      </c>
    </row>
    <row r="323" spans="2:2" ht="14" thickBot="1" x14ac:dyDescent="0.2">
      <c r="B323" s="55">
        <f>'TO G'!U8</f>
        <v>0</v>
      </c>
    </row>
    <row r="324" spans="2:2" x14ac:dyDescent="0.15">
      <c r="B324" s="54">
        <f>'TO G'!U9</f>
        <v>1</v>
      </c>
    </row>
    <row r="325" spans="2:2" x14ac:dyDescent="0.15">
      <c r="B325" s="54">
        <f>'TO G'!U10</f>
        <v>2</v>
      </c>
    </row>
    <row r="326" spans="2:2" ht="14" thickBot="1" x14ac:dyDescent="0.2">
      <c r="B326" s="54">
        <f>'TO G'!U11</f>
        <v>3</v>
      </c>
    </row>
    <row r="327" spans="2:2" x14ac:dyDescent="0.15">
      <c r="B327" s="56">
        <f>'TO G'!U12</f>
        <v>0</v>
      </c>
    </row>
    <row r="328" spans="2:2" x14ac:dyDescent="0.15">
      <c r="B328" s="54">
        <f>'TO G'!U13</f>
        <v>0</v>
      </c>
    </row>
    <row r="329" spans="2:2" ht="14" thickBot="1" x14ac:dyDescent="0.2">
      <c r="B329" s="55">
        <f>'TO G'!U14</f>
        <v>0</v>
      </c>
    </row>
    <row r="330" spans="2:2" x14ac:dyDescent="0.15">
      <c r="B330" s="54">
        <f>'TO G'!U15</f>
        <v>0</v>
      </c>
    </row>
    <row r="331" spans="2:2" x14ac:dyDescent="0.15">
      <c r="B331" s="54">
        <f>'TO G'!U16</f>
        <v>0</v>
      </c>
    </row>
    <row r="332" spans="2:2" ht="14" thickBot="1" x14ac:dyDescent="0.2">
      <c r="B332" s="54">
        <f>'TO G'!U17</f>
        <v>0</v>
      </c>
    </row>
    <row r="333" spans="2:2" x14ac:dyDescent="0.15">
      <c r="B333" s="56">
        <f>'TO G'!U18</f>
        <v>0</v>
      </c>
    </row>
    <row r="334" spans="2:2" x14ac:dyDescent="0.15">
      <c r="B334" s="54">
        <f>'TO G'!U19</f>
        <v>0</v>
      </c>
    </row>
    <row r="335" spans="2:2" ht="14" thickBot="1" x14ac:dyDescent="0.2">
      <c r="B335" s="55">
        <f>'TO G'!U20</f>
        <v>0</v>
      </c>
    </row>
    <row r="336" spans="2:2" x14ac:dyDescent="0.15">
      <c r="B336" s="54">
        <f>'TO G'!U21</f>
        <v>0</v>
      </c>
    </row>
    <row r="337" spans="2:2" x14ac:dyDescent="0.15">
      <c r="B337" s="54">
        <f>'TO G'!U22</f>
        <v>0</v>
      </c>
    </row>
    <row r="338" spans="2:2" ht="14" thickBot="1" x14ac:dyDescent="0.2">
      <c r="B338" s="55">
        <f>'TO G'!U23</f>
        <v>0</v>
      </c>
    </row>
    <row r="339" spans="2:2" x14ac:dyDescent="0.15">
      <c r="B339" s="14">
        <v>117</v>
      </c>
    </row>
    <row r="340" spans="2:2" x14ac:dyDescent="0.15">
      <c r="B340" s="7">
        <v>117</v>
      </c>
    </row>
    <row r="341" spans="2:2" ht="14" thickBot="1" x14ac:dyDescent="0.2">
      <c r="B341" s="6">
        <v>117</v>
      </c>
    </row>
    <row r="342" spans="2:2" x14ac:dyDescent="0.15">
      <c r="B342" s="11" t="s">
        <v>82</v>
      </c>
    </row>
    <row r="343" spans="2:2" x14ac:dyDescent="0.15">
      <c r="B343" s="9">
        <v>7</v>
      </c>
    </row>
    <row r="344" spans="2:2" ht="14" thickBot="1" x14ac:dyDescent="0.2">
      <c r="B344" s="8">
        <v>7</v>
      </c>
    </row>
    <row r="345" spans="2:2" x14ac:dyDescent="0.15">
      <c r="B345" s="11" t="s">
        <v>129</v>
      </c>
    </row>
    <row r="346" spans="2:2" x14ac:dyDescent="0.15">
      <c r="B346" s="9">
        <v>11</v>
      </c>
    </row>
    <row r="347" spans="2:2" ht="14" thickBot="1" x14ac:dyDescent="0.2">
      <c r="B347" s="8">
        <v>12</v>
      </c>
    </row>
    <row r="348" spans="2:2" x14ac:dyDescent="0.15">
      <c r="B348" s="52" t="s">
        <v>83</v>
      </c>
    </row>
    <row r="349" spans="2:2" x14ac:dyDescent="0.15">
      <c r="B349" s="7">
        <v>13</v>
      </c>
    </row>
    <row r="350" spans="2:2" ht="14" thickBot="1" x14ac:dyDescent="0.2">
      <c r="B350" s="6">
        <v>14</v>
      </c>
    </row>
    <row r="351" spans="2:2" x14ac:dyDescent="0.15">
      <c r="B351" s="7" t="s">
        <v>84</v>
      </c>
    </row>
    <row r="352" spans="2:2" x14ac:dyDescent="0.15">
      <c r="B352" s="7">
        <v>41</v>
      </c>
    </row>
    <row r="353" spans="2:2" ht="14" thickBot="1" x14ac:dyDescent="0.2">
      <c r="B353" s="8">
        <v>42</v>
      </c>
    </row>
    <row r="354" spans="2:2" x14ac:dyDescent="0.15">
      <c r="B354" s="52" t="s">
        <v>85</v>
      </c>
    </row>
    <row r="355" spans="2:2" x14ac:dyDescent="0.15">
      <c r="B355" s="7">
        <v>25</v>
      </c>
    </row>
    <row r="356" spans="2:2" ht="14" thickBot="1" x14ac:dyDescent="0.2">
      <c r="B356" s="6">
        <v>27</v>
      </c>
    </row>
    <row r="357" spans="2:2" x14ac:dyDescent="0.15">
      <c r="B357" s="7" t="s">
        <v>86</v>
      </c>
    </row>
    <row r="358" spans="2:2" x14ac:dyDescent="0.15">
      <c r="B358" s="7">
        <v>33</v>
      </c>
    </row>
    <row r="359" spans="2:2" ht="14" thickBot="1" x14ac:dyDescent="0.2">
      <c r="B359" s="6">
        <v>33</v>
      </c>
    </row>
    <row r="360" spans="2:2" x14ac:dyDescent="0.15">
      <c r="B360" s="12">
        <v>22</v>
      </c>
    </row>
    <row r="361" spans="2:2" x14ac:dyDescent="0.15">
      <c r="B361" s="1">
        <v>75</v>
      </c>
    </row>
    <row r="362" spans="2:2" ht="14" thickBot="1" x14ac:dyDescent="0.2">
      <c r="B362" s="6">
        <v>75</v>
      </c>
    </row>
    <row r="363" spans="2:2" x14ac:dyDescent="0.15">
      <c r="B363" s="14" t="s">
        <v>87</v>
      </c>
    </row>
    <row r="364" spans="2:2" x14ac:dyDescent="0.15">
      <c r="B364" s="1">
        <v>39</v>
      </c>
    </row>
    <row r="365" spans="2:2" ht="14" thickBot="1" x14ac:dyDescent="0.2">
      <c r="B365" s="6">
        <v>39</v>
      </c>
    </row>
    <row r="366" spans="2:2" x14ac:dyDescent="0.15">
      <c r="B366" s="14" t="s">
        <v>88</v>
      </c>
    </row>
    <row r="367" spans="2:2" x14ac:dyDescent="0.15">
      <c r="B367" s="1">
        <v>48</v>
      </c>
    </row>
    <row r="368" spans="2:2" ht="14" thickBot="1" x14ac:dyDescent="0.2">
      <c r="B368" s="6">
        <v>48</v>
      </c>
    </row>
    <row r="369" spans="2:2" x14ac:dyDescent="0.15">
      <c r="B369" s="52" t="s">
        <v>129</v>
      </c>
    </row>
    <row r="370" spans="2:2" x14ac:dyDescent="0.15">
      <c r="B370" s="1">
        <v>52</v>
      </c>
    </row>
    <row r="371" spans="2:2" ht="14" thickBot="1" x14ac:dyDescent="0.2">
      <c r="B371" s="6">
        <v>53</v>
      </c>
    </row>
    <row r="372" spans="2:2" x14ac:dyDescent="0.15">
      <c r="B372" s="7" t="s">
        <v>89</v>
      </c>
    </row>
    <row r="373" spans="2:2" x14ac:dyDescent="0.15">
      <c r="B373" s="1">
        <v>54</v>
      </c>
    </row>
    <row r="374" spans="2:2" ht="14" thickBot="1" x14ac:dyDescent="0.2">
      <c r="B374" s="6">
        <v>54</v>
      </c>
    </row>
    <row r="375" spans="2:2" x14ac:dyDescent="0.15">
      <c r="B375" s="52" t="s">
        <v>90</v>
      </c>
    </row>
    <row r="376" spans="2:2" x14ac:dyDescent="0.15">
      <c r="B376" s="1">
        <v>55</v>
      </c>
    </row>
    <row r="377" spans="2:2" ht="14" thickBot="1" x14ac:dyDescent="0.2">
      <c r="B377" s="6">
        <v>60</v>
      </c>
    </row>
    <row r="378" spans="2:2" x14ac:dyDescent="0.15">
      <c r="B378" s="7" t="s">
        <v>91</v>
      </c>
    </row>
    <row r="379" spans="2:2" x14ac:dyDescent="0.15">
      <c r="B379" s="1">
        <v>61</v>
      </c>
    </row>
    <row r="380" spans="2:2" ht="14" thickBot="1" x14ac:dyDescent="0.2">
      <c r="B380" s="6">
        <v>63</v>
      </c>
    </row>
    <row r="381" spans="2:2" x14ac:dyDescent="0.15">
      <c r="B381" s="12">
        <v>117</v>
      </c>
    </row>
    <row r="382" spans="2:2" x14ac:dyDescent="0.15">
      <c r="B382" s="1">
        <v>117</v>
      </c>
    </row>
    <row r="383" spans="2:2" ht="14" thickBot="1" x14ac:dyDescent="0.2">
      <c r="B383" s="6">
        <v>117</v>
      </c>
    </row>
    <row r="384" spans="2:2" x14ac:dyDescent="0.15">
      <c r="B384" s="14" t="s">
        <v>92</v>
      </c>
    </row>
    <row r="385" spans="2:2" x14ac:dyDescent="0.15">
      <c r="B385" s="1">
        <v>70</v>
      </c>
    </row>
    <row r="386" spans="2:2" ht="14" thickBot="1" x14ac:dyDescent="0.2">
      <c r="B386" s="6">
        <v>70</v>
      </c>
    </row>
    <row r="387" spans="2:2" x14ac:dyDescent="0.15">
      <c r="B387" s="14" t="s">
        <v>93</v>
      </c>
    </row>
    <row r="388" spans="2:2" x14ac:dyDescent="0.15">
      <c r="B388" s="1">
        <v>73</v>
      </c>
    </row>
    <row r="389" spans="2:2" ht="14" thickBot="1" x14ac:dyDescent="0.2">
      <c r="B389" s="6">
        <v>73</v>
      </c>
    </row>
    <row r="390" spans="2:2" x14ac:dyDescent="0.15">
      <c r="B390" s="24" t="s">
        <v>94</v>
      </c>
    </row>
    <row r="391" spans="2:2" x14ac:dyDescent="0.15">
      <c r="B391" s="1">
        <v>74</v>
      </c>
    </row>
    <row r="392" spans="2:2" ht="14" thickBot="1" x14ac:dyDescent="0.2">
      <c r="B392" s="6">
        <v>76</v>
      </c>
    </row>
    <row r="393" spans="2:2" x14ac:dyDescent="0.15">
      <c r="B393" s="7" t="s">
        <v>95</v>
      </c>
    </row>
    <row r="394" spans="2:2" x14ac:dyDescent="0.15">
      <c r="B394" s="1">
        <v>80</v>
      </c>
    </row>
    <row r="395" spans="2:2" ht="14" thickBot="1" x14ac:dyDescent="0.2">
      <c r="B395" s="6">
        <v>80</v>
      </c>
    </row>
    <row r="396" spans="2:2" x14ac:dyDescent="0.15">
      <c r="B396" s="24">
        <v>21</v>
      </c>
    </row>
    <row r="397" spans="2:2" x14ac:dyDescent="0.15">
      <c r="B397" s="1">
        <v>21</v>
      </c>
    </row>
    <row r="398" spans="2:2" ht="14" thickBot="1" x14ac:dyDescent="0.2">
      <c r="B398" s="6">
        <v>21</v>
      </c>
    </row>
    <row r="399" spans="2:2" x14ac:dyDescent="0.15">
      <c r="B399" s="7" t="s">
        <v>96</v>
      </c>
    </row>
    <row r="400" spans="2:2" x14ac:dyDescent="0.15">
      <c r="B400" s="1">
        <v>33</v>
      </c>
    </row>
    <row r="401" spans="2:2" ht="14" thickBot="1" x14ac:dyDescent="0.2">
      <c r="B401" s="6">
        <v>33</v>
      </c>
    </row>
    <row r="402" spans="2:2" x14ac:dyDescent="0.15">
      <c r="B402" s="14">
        <v>22</v>
      </c>
    </row>
    <row r="403" spans="2:2" x14ac:dyDescent="0.15">
      <c r="B403" s="7">
        <v>75</v>
      </c>
    </row>
    <row r="404" spans="2:2" ht="14" thickBot="1" x14ac:dyDescent="0.2">
      <c r="B404" s="6">
        <v>75</v>
      </c>
    </row>
    <row r="405" spans="2:2" x14ac:dyDescent="0.15">
      <c r="B405" s="14" t="s">
        <v>97</v>
      </c>
    </row>
    <row r="406" spans="2:2" x14ac:dyDescent="0.15">
      <c r="B406" s="7">
        <v>81</v>
      </c>
    </row>
    <row r="407" spans="2:2" ht="14" thickBot="1" x14ac:dyDescent="0.2">
      <c r="B407" s="6">
        <v>119</v>
      </c>
    </row>
    <row r="408" spans="2:2" x14ac:dyDescent="0.15">
      <c r="B408" s="14" t="s">
        <v>98</v>
      </c>
    </row>
    <row r="409" spans="2:2" x14ac:dyDescent="0.15">
      <c r="B409" s="7">
        <v>87</v>
      </c>
    </row>
    <row r="410" spans="2:2" ht="14" thickBot="1" x14ac:dyDescent="0.2">
      <c r="B410" s="6">
        <v>87</v>
      </c>
    </row>
    <row r="411" spans="2:2" x14ac:dyDescent="0.15">
      <c r="B411" s="52" t="s">
        <v>99</v>
      </c>
    </row>
    <row r="412" spans="2:2" x14ac:dyDescent="0.15">
      <c r="B412" s="7">
        <v>93</v>
      </c>
    </row>
    <row r="413" spans="2:2" ht="14" thickBot="1" x14ac:dyDescent="0.2">
      <c r="B413" s="6">
        <v>93</v>
      </c>
    </row>
    <row r="414" spans="2:2" x14ac:dyDescent="0.15">
      <c r="B414" s="7" t="s">
        <v>100</v>
      </c>
    </row>
    <row r="415" spans="2:2" x14ac:dyDescent="0.15">
      <c r="B415" s="7">
        <v>127</v>
      </c>
    </row>
    <row r="416" spans="2:2" ht="14" thickBot="1" x14ac:dyDescent="0.2">
      <c r="B416" s="6">
        <v>128</v>
      </c>
    </row>
    <row r="417" spans="2:2" x14ac:dyDescent="0.15">
      <c r="B417" s="52" t="s">
        <v>101</v>
      </c>
    </row>
    <row r="418" spans="2:2" x14ac:dyDescent="0.15">
      <c r="B418" s="7">
        <v>132</v>
      </c>
    </row>
    <row r="419" spans="2:2" ht="14" thickBot="1" x14ac:dyDescent="0.2">
      <c r="B419" s="6">
        <v>137</v>
      </c>
    </row>
    <row r="420" spans="2:2" x14ac:dyDescent="0.15">
      <c r="B420" s="7" t="s">
        <v>102</v>
      </c>
    </row>
    <row r="421" spans="2:2" x14ac:dyDescent="0.15">
      <c r="B421" s="7">
        <v>44</v>
      </c>
    </row>
    <row r="422" spans="2:2" ht="14" thickBot="1" x14ac:dyDescent="0.2">
      <c r="B422" s="6">
        <v>44</v>
      </c>
    </row>
    <row r="423" spans="2:2" x14ac:dyDescent="0.15">
      <c r="B423" s="65">
        <v>90</v>
      </c>
    </row>
    <row r="424" spans="2:2" x14ac:dyDescent="0.15">
      <c r="B424" s="64">
        <v>0</v>
      </c>
    </row>
    <row r="425" spans="2:2" ht="14" thickBot="1" x14ac:dyDescent="0.2">
      <c r="B425" s="195">
        <v>0</v>
      </c>
    </row>
    <row r="426" spans="2:2" x14ac:dyDescent="0.15">
      <c r="B426" s="65">
        <v>4</v>
      </c>
    </row>
    <row r="427" spans="2:2" x14ac:dyDescent="0.15">
      <c r="B427" s="64">
        <v>133</v>
      </c>
    </row>
    <row r="428" spans="2:2" ht="14" thickBot="1" x14ac:dyDescent="0.2">
      <c r="B428" s="195">
        <v>0</v>
      </c>
    </row>
    <row r="429" spans="2:2" x14ac:dyDescent="0.15">
      <c r="B429" s="64">
        <v>90</v>
      </c>
    </row>
    <row r="430" spans="2:2" x14ac:dyDescent="0.15">
      <c r="B430" s="64">
        <v>0</v>
      </c>
    </row>
    <row r="431" spans="2:2" ht="14" thickBot="1" x14ac:dyDescent="0.2">
      <c r="B431" s="64">
        <v>0</v>
      </c>
    </row>
    <row r="432" spans="2:2" x14ac:dyDescent="0.15">
      <c r="B432" s="65">
        <v>4</v>
      </c>
    </row>
    <row r="433" spans="2:2" x14ac:dyDescent="0.15">
      <c r="B433" s="64">
        <v>133</v>
      </c>
    </row>
    <row r="434" spans="2:2" ht="14" thickBot="1" x14ac:dyDescent="0.2">
      <c r="B434" s="195">
        <v>0</v>
      </c>
    </row>
    <row r="435" spans="2:2" x14ac:dyDescent="0.15">
      <c r="B435" s="64">
        <v>90</v>
      </c>
    </row>
    <row r="436" spans="2:2" x14ac:dyDescent="0.15">
      <c r="B436" s="64">
        <v>0</v>
      </c>
    </row>
    <row r="437" spans="2:2" ht="14" thickBot="1" x14ac:dyDescent="0.2">
      <c r="B437" s="64">
        <v>0</v>
      </c>
    </row>
    <row r="438" spans="2:2" x14ac:dyDescent="0.15">
      <c r="B438" s="65">
        <v>4</v>
      </c>
    </row>
    <row r="439" spans="2:2" x14ac:dyDescent="0.15">
      <c r="B439" s="64">
        <v>133</v>
      </c>
    </row>
    <row r="440" spans="2:2" ht="14" thickBot="1" x14ac:dyDescent="0.2">
      <c r="B440" s="195">
        <v>0</v>
      </c>
    </row>
    <row r="441" spans="2:2" x14ac:dyDescent="0.15">
      <c r="B441" s="64" t="s">
        <v>103</v>
      </c>
    </row>
    <row r="442" spans="2:2" x14ac:dyDescent="0.15">
      <c r="B442" s="64">
        <v>133</v>
      </c>
    </row>
    <row r="443" spans="2:2" ht="14" thickBot="1" x14ac:dyDescent="0.2">
      <c r="B443" s="195">
        <v>0</v>
      </c>
    </row>
  </sheetData>
  <mergeCells count="16">
    <mergeCell ref="A12:A14"/>
    <mergeCell ref="A15:A17"/>
    <mergeCell ref="A18:A20"/>
    <mergeCell ref="A21:A23"/>
    <mergeCell ref="X2:Y2"/>
    <mergeCell ref="Z2:AA2"/>
    <mergeCell ref="AB2:AC2"/>
    <mergeCell ref="A3:A5"/>
    <mergeCell ref="A6:A8"/>
    <mergeCell ref="A9:A11"/>
    <mergeCell ref="V2:W2"/>
    <mergeCell ref="B1:E1"/>
    <mergeCell ref="F2:G2"/>
    <mergeCell ref="H2:I2"/>
    <mergeCell ref="J2:K2"/>
    <mergeCell ref="L2:M2"/>
  </mergeCells>
  <phoneticPr fontId="1" type="noConversion"/>
  <pageMargins left="0.75" right="0.75" top="1" bottom="1" header="0.5" footer="0.5"/>
  <pageSetup paperSize="10" orientation="portrait" horizontalDpi="4294967292" verticalDpi="4294967292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42"/>
  <sheetViews>
    <sheetView workbookViewId="0">
      <selection activeCell="B6" sqref="B6"/>
    </sheetView>
  </sheetViews>
  <sheetFormatPr baseColWidth="10" defaultRowHeight="13" x14ac:dyDescent="0.15"/>
  <sheetData>
    <row r="1" spans="1:2" x14ac:dyDescent="0.15">
      <c r="A1" t="s">
        <v>1</v>
      </c>
      <c r="B1" t="s">
        <v>2</v>
      </c>
    </row>
    <row r="2" spans="1:2" x14ac:dyDescent="0.15">
      <c r="A2">
        <v>193</v>
      </c>
      <c r="B2">
        <v>0</v>
      </c>
    </row>
    <row r="3" spans="1:2" x14ac:dyDescent="0.15">
      <c r="A3">
        <v>194</v>
      </c>
      <c r="B3">
        <v>0</v>
      </c>
    </row>
    <row r="4" spans="1:2" x14ac:dyDescent="0.15">
      <c r="A4">
        <v>195</v>
      </c>
      <c r="B4">
        <v>0</v>
      </c>
    </row>
    <row r="5" spans="1:2" x14ac:dyDescent="0.15">
      <c r="A5">
        <v>196</v>
      </c>
      <c r="B5">
        <v>0</v>
      </c>
    </row>
    <row r="6" spans="1:2" x14ac:dyDescent="0.15">
      <c r="A6">
        <v>197</v>
      </c>
      <c r="B6">
        <v>0</v>
      </c>
    </row>
    <row r="7" spans="1:2" x14ac:dyDescent="0.15">
      <c r="A7">
        <v>198</v>
      </c>
      <c r="B7">
        <v>0</v>
      </c>
    </row>
    <row r="8" spans="1:2" x14ac:dyDescent="0.15">
      <c r="A8">
        <v>205</v>
      </c>
      <c r="B8">
        <v>0</v>
      </c>
    </row>
    <row r="9" spans="1:2" x14ac:dyDescent="0.15">
      <c r="A9">
        <v>206</v>
      </c>
      <c r="B9">
        <v>0</v>
      </c>
    </row>
    <row r="10" spans="1:2" x14ac:dyDescent="0.15">
      <c r="A10">
        <v>207</v>
      </c>
      <c r="B10">
        <v>0</v>
      </c>
    </row>
    <row r="11" spans="1:2" x14ac:dyDescent="0.15">
      <c r="A11">
        <v>208</v>
      </c>
      <c r="B11">
        <v>0</v>
      </c>
    </row>
    <row r="12" spans="1:2" x14ac:dyDescent="0.15">
      <c r="A12">
        <v>209</v>
      </c>
      <c r="B12">
        <v>0</v>
      </c>
    </row>
    <row r="13" spans="1:2" x14ac:dyDescent="0.15">
      <c r="A13">
        <v>210</v>
      </c>
      <c r="B13">
        <v>0</v>
      </c>
    </row>
    <row r="14" spans="1:2" x14ac:dyDescent="0.15">
      <c r="A14">
        <v>226</v>
      </c>
      <c r="B14">
        <v>0</v>
      </c>
    </row>
    <row r="15" spans="1:2" x14ac:dyDescent="0.15">
      <c r="A15">
        <v>235</v>
      </c>
      <c r="B15">
        <v>0</v>
      </c>
    </row>
    <row r="16" spans="1:2" x14ac:dyDescent="0.15">
      <c r="A16">
        <v>236</v>
      </c>
      <c r="B16">
        <v>0</v>
      </c>
    </row>
    <row r="17" spans="1:2" x14ac:dyDescent="0.15">
      <c r="A17">
        <v>237</v>
      </c>
      <c r="B17">
        <v>0</v>
      </c>
    </row>
    <row r="18" spans="1:2" x14ac:dyDescent="0.15">
      <c r="A18">
        <v>238</v>
      </c>
      <c r="B18">
        <v>0</v>
      </c>
    </row>
    <row r="19" spans="1:2" x14ac:dyDescent="0.15">
      <c r="A19">
        <v>239</v>
      </c>
      <c r="B19">
        <v>0</v>
      </c>
    </row>
    <row r="20" spans="1:2" x14ac:dyDescent="0.15">
      <c r="A20">
        <v>240</v>
      </c>
      <c r="B20">
        <v>0</v>
      </c>
    </row>
    <row r="21" spans="1:2" x14ac:dyDescent="0.15">
      <c r="A21">
        <v>241</v>
      </c>
      <c r="B21">
        <v>0</v>
      </c>
    </row>
    <row r="22" spans="1:2" x14ac:dyDescent="0.15">
      <c r="A22">
        <v>242</v>
      </c>
      <c r="B22">
        <v>0</v>
      </c>
    </row>
    <row r="23" spans="1:2" x14ac:dyDescent="0.15">
      <c r="A23">
        <v>243</v>
      </c>
      <c r="B23">
        <v>0</v>
      </c>
    </row>
    <row r="24" spans="1:2" x14ac:dyDescent="0.15">
      <c r="A24">
        <v>244</v>
      </c>
      <c r="B24">
        <v>0</v>
      </c>
    </row>
    <row r="25" spans="1:2" x14ac:dyDescent="0.15">
      <c r="A25">
        <v>245</v>
      </c>
      <c r="B25">
        <v>0</v>
      </c>
    </row>
    <row r="26" spans="1:2" x14ac:dyDescent="0.15">
      <c r="A26">
        <v>246</v>
      </c>
      <c r="B26">
        <v>0</v>
      </c>
    </row>
    <row r="27" spans="1:2" x14ac:dyDescent="0.15">
      <c r="A27">
        <v>250</v>
      </c>
      <c r="B27">
        <v>0</v>
      </c>
    </row>
    <row r="28" spans="1:2" x14ac:dyDescent="0.15">
      <c r="A28">
        <v>251</v>
      </c>
      <c r="B28">
        <v>0</v>
      </c>
    </row>
    <row r="29" spans="1:2" x14ac:dyDescent="0.15">
      <c r="A29">
        <v>252</v>
      </c>
      <c r="B29">
        <v>0</v>
      </c>
    </row>
    <row r="30" spans="1:2" x14ac:dyDescent="0.15">
      <c r="A30">
        <v>277</v>
      </c>
      <c r="B30">
        <v>0</v>
      </c>
    </row>
    <row r="31" spans="1:2" x14ac:dyDescent="0.15">
      <c r="A31">
        <v>278</v>
      </c>
      <c r="B31">
        <v>0</v>
      </c>
    </row>
    <row r="32" spans="1:2" x14ac:dyDescent="0.15">
      <c r="A32">
        <v>279</v>
      </c>
      <c r="B32">
        <v>0</v>
      </c>
    </row>
    <row r="33" spans="1:2" x14ac:dyDescent="0.15">
      <c r="A33">
        <v>280</v>
      </c>
      <c r="B33">
        <v>0</v>
      </c>
    </row>
    <row r="34" spans="1:2" x14ac:dyDescent="0.15">
      <c r="A34">
        <v>281</v>
      </c>
      <c r="B34">
        <v>0</v>
      </c>
    </row>
    <row r="35" spans="1:2" x14ac:dyDescent="0.15">
      <c r="A35">
        <v>282</v>
      </c>
      <c r="B35">
        <v>0</v>
      </c>
    </row>
    <row r="36" spans="1:2" x14ac:dyDescent="0.15">
      <c r="A36">
        <v>283</v>
      </c>
      <c r="B36">
        <v>0</v>
      </c>
    </row>
    <row r="37" spans="1:2" x14ac:dyDescent="0.15">
      <c r="A37">
        <v>284</v>
      </c>
      <c r="B37">
        <v>0</v>
      </c>
    </row>
    <row r="38" spans="1:2" x14ac:dyDescent="0.15">
      <c r="A38">
        <v>285</v>
      </c>
      <c r="B38">
        <v>0</v>
      </c>
    </row>
    <row r="39" spans="1:2" x14ac:dyDescent="0.15">
      <c r="A39">
        <v>286</v>
      </c>
      <c r="B39">
        <v>0</v>
      </c>
    </row>
    <row r="40" spans="1:2" x14ac:dyDescent="0.15">
      <c r="A40">
        <v>287</v>
      </c>
      <c r="B40">
        <v>0</v>
      </c>
    </row>
    <row r="41" spans="1:2" x14ac:dyDescent="0.15">
      <c r="A41">
        <v>288</v>
      </c>
      <c r="B41">
        <v>0</v>
      </c>
    </row>
    <row r="42" spans="1:2" x14ac:dyDescent="0.15">
      <c r="A42">
        <v>289</v>
      </c>
      <c r="B42">
        <v>0</v>
      </c>
    </row>
    <row r="43" spans="1:2" x14ac:dyDescent="0.15">
      <c r="A43">
        <v>290</v>
      </c>
      <c r="B43">
        <v>0</v>
      </c>
    </row>
    <row r="44" spans="1:2" x14ac:dyDescent="0.15">
      <c r="A44">
        <v>291</v>
      </c>
      <c r="B44">
        <v>0</v>
      </c>
    </row>
    <row r="45" spans="1:2" x14ac:dyDescent="0.15">
      <c r="A45">
        <v>292</v>
      </c>
      <c r="B45">
        <v>0</v>
      </c>
    </row>
    <row r="46" spans="1:2" x14ac:dyDescent="0.15">
      <c r="A46">
        <v>293</v>
      </c>
      <c r="B46">
        <v>0</v>
      </c>
    </row>
    <row r="47" spans="1:2" x14ac:dyDescent="0.15">
      <c r="A47">
        <v>294</v>
      </c>
      <c r="B47">
        <v>0</v>
      </c>
    </row>
    <row r="48" spans="1:2" x14ac:dyDescent="0.15">
      <c r="A48">
        <v>319</v>
      </c>
      <c r="B48">
        <v>0</v>
      </c>
    </row>
    <row r="49" spans="1:2" x14ac:dyDescent="0.15">
      <c r="A49">
        <v>320</v>
      </c>
      <c r="B49">
        <v>0</v>
      </c>
    </row>
    <row r="50" spans="1:2" x14ac:dyDescent="0.15">
      <c r="A50">
        <v>321</v>
      </c>
      <c r="B50">
        <v>0</v>
      </c>
    </row>
    <row r="51" spans="1:2" x14ac:dyDescent="0.15">
      <c r="A51">
        <v>325</v>
      </c>
      <c r="B51">
        <v>0</v>
      </c>
    </row>
    <row r="52" spans="1:2" x14ac:dyDescent="0.15">
      <c r="A52">
        <v>326</v>
      </c>
      <c r="B52">
        <v>0</v>
      </c>
    </row>
    <row r="53" spans="1:2" x14ac:dyDescent="0.15">
      <c r="A53">
        <v>327</v>
      </c>
      <c r="B53">
        <v>0</v>
      </c>
    </row>
    <row r="54" spans="1:2" x14ac:dyDescent="0.15">
      <c r="A54">
        <v>328</v>
      </c>
      <c r="B54">
        <v>0</v>
      </c>
    </row>
    <row r="55" spans="1:2" x14ac:dyDescent="0.15">
      <c r="A55">
        <v>329</v>
      </c>
      <c r="B55">
        <v>0</v>
      </c>
    </row>
    <row r="56" spans="1:2" x14ac:dyDescent="0.15">
      <c r="A56">
        <v>330</v>
      </c>
      <c r="B56">
        <v>0</v>
      </c>
    </row>
    <row r="57" spans="1:2" x14ac:dyDescent="0.15">
      <c r="A57">
        <v>331</v>
      </c>
      <c r="B57">
        <v>0</v>
      </c>
    </row>
    <row r="58" spans="1:2" x14ac:dyDescent="0.15">
      <c r="A58">
        <v>332</v>
      </c>
      <c r="B58">
        <v>0</v>
      </c>
    </row>
    <row r="59" spans="1:2" x14ac:dyDescent="0.15">
      <c r="A59">
        <v>333</v>
      </c>
      <c r="B59">
        <v>0</v>
      </c>
    </row>
    <row r="60" spans="1:2" x14ac:dyDescent="0.15">
      <c r="A60">
        <v>334</v>
      </c>
      <c r="B60">
        <v>0</v>
      </c>
    </row>
    <row r="61" spans="1:2" x14ac:dyDescent="0.15">
      <c r="A61">
        <v>335</v>
      </c>
      <c r="B61">
        <v>0</v>
      </c>
    </row>
    <row r="62" spans="1:2" x14ac:dyDescent="0.15">
      <c r="A62">
        <v>336</v>
      </c>
      <c r="B62">
        <v>0</v>
      </c>
    </row>
    <row r="63" spans="1:2" x14ac:dyDescent="0.15">
      <c r="A63">
        <v>422</v>
      </c>
      <c r="B63">
        <v>0</v>
      </c>
    </row>
    <row r="64" spans="1:2" x14ac:dyDescent="0.15">
      <c r="A64">
        <v>423</v>
      </c>
      <c r="B64">
        <v>0</v>
      </c>
    </row>
    <row r="65" spans="1:2" x14ac:dyDescent="0.15">
      <c r="A65">
        <v>426</v>
      </c>
      <c r="B65">
        <v>0</v>
      </c>
    </row>
    <row r="66" spans="1:2" x14ac:dyDescent="0.15">
      <c r="A66">
        <v>428</v>
      </c>
      <c r="B66">
        <v>0</v>
      </c>
    </row>
    <row r="67" spans="1:2" x14ac:dyDescent="0.15">
      <c r="A67">
        <v>429</v>
      </c>
      <c r="B67">
        <v>0</v>
      </c>
    </row>
    <row r="68" spans="1:2" x14ac:dyDescent="0.15">
      <c r="A68">
        <v>432</v>
      </c>
      <c r="B68">
        <v>0</v>
      </c>
    </row>
    <row r="69" spans="1:2" x14ac:dyDescent="0.15">
      <c r="A69">
        <v>434</v>
      </c>
      <c r="B69">
        <v>0</v>
      </c>
    </row>
    <row r="70" spans="1:2" x14ac:dyDescent="0.15">
      <c r="A70">
        <v>435</v>
      </c>
      <c r="B70">
        <v>0</v>
      </c>
    </row>
    <row r="71" spans="1:2" x14ac:dyDescent="0.15">
      <c r="A71">
        <v>438</v>
      </c>
      <c r="B71">
        <v>0</v>
      </c>
    </row>
    <row r="72" spans="1:2" x14ac:dyDescent="0.15">
      <c r="A72">
        <v>441</v>
      </c>
      <c r="B72">
        <v>0</v>
      </c>
    </row>
    <row r="73" spans="1:2" x14ac:dyDescent="0.15">
      <c r="A73">
        <v>169</v>
      </c>
      <c r="B73">
        <v>1</v>
      </c>
    </row>
    <row r="74" spans="1:2" x14ac:dyDescent="0.15">
      <c r="A74">
        <v>322</v>
      </c>
      <c r="B74">
        <v>1</v>
      </c>
    </row>
    <row r="75" spans="1:2" x14ac:dyDescent="0.15">
      <c r="A75">
        <v>170</v>
      </c>
      <c r="B75">
        <v>2</v>
      </c>
    </row>
    <row r="76" spans="1:2" x14ac:dyDescent="0.15">
      <c r="A76">
        <v>323</v>
      </c>
      <c r="B76">
        <v>2</v>
      </c>
    </row>
    <row r="77" spans="1:2" x14ac:dyDescent="0.15">
      <c r="A77">
        <v>171</v>
      </c>
      <c r="B77">
        <v>3</v>
      </c>
    </row>
    <row r="78" spans="1:2" x14ac:dyDescent="0.15">
      <c r="A78">
        <v>324</v>
      </c>
      <c r="B78">
        <v>3</v>
      </c>
    </row>
    <row r="79" spans="1:2" x14ac:dyDescent="0.15">
      <c r="A79">
        <v>424</v>
      </c>
      <c r="B79">
        <v>4</v>
      </c>
    </row>
    <row r="80" spans="1:2" x14ac:dyDescent="0.15">
      <c r="A80">
        <v>430</v>
      </c>
      <c r="B80">
        <v>4</v>
      </c>
    </row>
    <row r="81" spans="1:4" x14ac:dyDescent="0.15">
      <c r="A81">
        <v>436</v>
      </c>
      <c r="B81">
        <v>4</v>
      </c>
    </row>
    <row r="82" spans="1:4" x14ac:dyDescent="0.15">
      <c r="A82">
        <v>4</v>
      </c>
      <c r="B82">
        <v>5</v>
      </c>
    </row>
    <row r="83" spans="1:4" x14ac:dyDescent="0.15">
      <c r="A83">
        <v>172</v>
      </c>
      <c r="B83">
        <v>6</v>
      </c>
    </row>
    <row r="84" spans="1:4" x14ac:dyDescent="0.15">
      <c r="A84">
        <v>341</v>
      </c>
      <c r="B84">
        <v>7</v>
      </c>
    </row>
    <row r="85" spans="1:4" x14ac:dyDescent="0.15">
      <c r="A85">
        <v>342</v>
      </c>
      <c r="B85">
        <v>7</v>
      </c>
    </row>
    <row r="86" spans="1:4" x14ac:dyDescent="0.15">
      <c r="A86">
        <v>7</v>
      </c>
      <c r="B86">
        <v>8</v>
      </c>
      <c r="D86">
        <v>9</v>
      </c>
    </row>
    <row r="87" spans="1:4" x14ac:dyDescent="0.15">
      <c r="A87">
        <v>177</v>
      </c>
      <c r="B87">
        <v>10</v>
      </c>
    </row>
    <row r="88" spans="1:4" x14ac:dyDescent="0.15">
      <c r="A88">
        <v>344</v>
      </c>
      <c r="B88">
        <v>11</v>
      </c>
    </row>
    <row r="89" spans="1:4" x14ac:dyDescent="0.15">
      <c r="A89">
        <v>211</v>
      </c>
      <c r="B89">
        <v>12</v>
      </c>
    </row>
    <row r="90" spans="1:4" x14ac:dyDescent="0.15">
      <c r="A90">
        <v>345</v>
      </c>
      <c r="B90">
        <v>12</v>
      </c>
    </row>
    <row r="91" spans="1:4" x14ac:dyDescent="0.15">
      <c r="A91">
        <v>347</v>
      </c>
      <c r="B91">
        <v>13</v>
      </c>
    </row>
    <row r="92" spans="1:4" x14ac:dyDescent="0.15">
      <c r="A92">
        <v>348</v>
      </c>
      <c r="B92">
        <v>14</v>
      </c>
    </row>
    <row r="93" spans="1:4" x14ac:dyDescent="0.15">
      <c r="A93">
        <v>178</v>
      </c>
      <c r="B93">
        <v>15</v>
      </c>
    </row>
    <row r="94" spans="1:4" x14ac:dyDescent="0.15">
      <c r="A94">
        <v>212</v>
      </c>
      <c r="B94">
        <v>15</v>
      </c>
    </row>
    <row r="95" spans="1:4" x14ac:dyDescent="0.15">
      <c r="A95">
        <v>88</v>
      </c>
      <c r="B95">
        <v>16</v>
      </c>
    </row>
    <row r="96" spans="1:4" x14ac:dyDescent="0.15">
      <c r="A96">
        <v>89</v>
      </c>
      <c r="B96">
        <v>16</v>
      </c>
    </row>
    <row r="97" spans="1:4" x14ac:dyDescent="0.15">
      <c r="A97">
        <v>199</v>
      </c>
      <c r="B97">
        <v>17</v>
      </c>
    </row>
    <row r="98" spans="1:4" x14ac:dyDescent="0.15">
      <c r="A98">
        <v>200</v>
      </c>
      <c r="B98">
        <v>17</v>
      </c>
    </row>
    <row r="99" spans="1:4" x14ac:dyDescent="0.15">
      <c r="A99">
        <v>201</v>
      </c>
      <c r="B99">
        <v>17</v>
      </c>
    </row>
    <row r="100" spans="1:4" x14ac:dyDescent="0.15">
      <c r="A100">
        <v>202</v>
      </c>
      <c r="B100">
        <v>17</v>
      </c>
    </row>
    <row r="101" spans="1:4" x14ac:dyDescent="0.15">
      <c r="A101">
        <v>203</v>
      </c>
      <c r="B101">
        <v>17</v>
      </c>
    </row>
    <row r="102" spans="1:4" x14ac:dyDescent="0.15">
      <c r="A102">
        <v>204</v>
      </c>
      <c r="B102">
        <v>17</v>
      </c>
    </row>
    <row r="103" spans="1:4" x14ac:dyDescent="0.15">
      <c r="A103">
        <v>253</v>
      </c>
      <c r="B103">
        <v>17</v>
      </c>
    </row>
    <row r="104" spans="1:4" x14ac:dyDescent="0.15">
      <c r="A104">
        <v>254</v>
      </c>
      <c r="B104">
        <v>17</v>
      </c>
    </row>
    <row r="105" spans="1:4" x14ac:dyDescent="0.15">
      <c r="A105">
        <v>255</v>
      </c>
      <c r="B105">
        <v>17</v>
      </c>
    </row>
    <row r="106" spans="1:4" x14ac:dyDescent="0.15">
      <c r="A106">
        <v>91</v>
      </c>
      <c r="B106">
        <v>19</v>
      </c>
      <c r="D106">
        <v>18</v>
      </c>
    </row>
    <row r="107" spans="1:4" x14ac:dyDescent="0.15">
      <c r="A107">
        <v>184</v>
      </c>
      <c r="B107">
        <v>19</v>
      </c>
    </row>
    <row r="108" spans="1:4" x14ac:dyDescent="0.15">
      <c r="A108">
        <v>92</v>
      </c>
      <c r="B108">
        <v>20</v>
      </c>
    </row>
    <row r="109" spans="1:4" x14ac:dyDescent="0.15">
      <c r="A109">
        <v>185</v>
      </c>
      <c r="B109">
        <v>20</v>
      </c>
    </row>
    <row r="110" spans="1:4" x14ac:dyDescent="0.15">
      <c r="A110">
        <v>394</v>
      </c>
      <c r="B110">
        <v>21</v>
      </c>
    </row>
    <row r="111" spans="1:4" x14ac:dyDescent="0.15">
      <c r="A111">
        <v>395</v>
      </c>
      <c r="B111">
        <v>21</v>
      </c>
    </row>
    <row r="112" spans="1:4" x14ac:dyDescent="0.15">
      <c r="A112">
        <v>396</v>
      </c>
      <c r="B112">
        <v>21</v>
      </c>
    </row>
    <row r="113" spans="1:2" x14ac:dyDescent="0.15">
      <c r="A113">
        <v>358</v>
      </c>
      <c r="B113">
        <v>22</v>
      </c>
    </row>
    <row r="114" spans="1:2" x14ac:dyDescent="0.15">
      <c r="A114">
        <v>400</v>
      </c>
      <c r="B114">
        <v>22</v>
      </c>
    </row>
    <row r="115" spans="1:2" x14ac:dyDescent="0.15">
      <c r="A115">
        <v>179</v>
      </c>
      <c r="B115">
        <v>23</v>
      </c>
    </row>
    <row r="116" spans="1:2" x14ac:dyDescent="0.15">
      <c r="A116">
        <v>213</v>
      </c>
      <c r="B116">
        <v>23</v>
      </c>
    </row>
    <row r="117" spans="1:2" x14ac:dyDescent="0.15">
      <c r="A117">
        <v>94</v>
      </c>
      <c r="B117">
        <v>24</v>
      </c>
    </row>
    <row r="118" spans="1:2" x14ac:dyDescent="0.15">
      <c r="A118">
        <v>95</v>
      </c>
      <c r="B118">
        <v>24</v>
      </c>
    </row>
    <row r="119" spans="1:2" x14ac:dyDescent="0.15">
      <c r="A119">
        <v>353</v>
      </c>
      <c r="B119">
        <v>25</v>
      </c>
    </row>
    <row r="120" spans="1:2" x14ac:dyDescent="0.15">
      <c r="A120">
        <v>97</v>
      </c>
      <c r="B120">
        <v>26</v>
      </c>
    </row>
    <row r="121" spans="1:2" x14ac:dyDescent="0.15">
      <c r="A121">
        <v>98</v>
      </c>
      <c r="B121">
        <v>26</v>
      </c>
    </row>
    <row r="122" spans="1:2" x14ac:dyDescent="0.15">
      <c r="A122">
        <v>354</v>
      </c>
      <c r="B122">
        <v>27</v>
      </c>
    </row>
    <row r="123" spans="1:2" x14ac:dyDescent="0.15">
      <c r="A123">
        <v>13</v>
      </c>
      <c r="B123">
        <v>28</v>
      </c>
    </row>
    <row r="124" spans="1:2" x14ac:dyDescent="0.15">
      <c r="A124">
        <v>186</v>
      </c>
      <c r="B124">
        <v>29</v>
      </c>
    </row>
    <row r="125" spans="1:2" x14ac:dyDescent="0.15">
      <c r="A125">
        <v>295</v>
      </c>
      <c r="B125">
        <v>29</v>
      </c>
    </row>
    <row r="126" spans="1:2" x14ac:dyDescent="0.15">
      <c r="A126">
        <v>187</v>
      </c>
      <c r="B126">
        <v>30</v>
      </c>
    </row>
    <row r="127" spans="1:2" x14ac:dyDescent="0.15">
      <c r="A127">
        <v>188</v>
      </c>
      <c r="B127">
        <v>30</v>
      </c>
    </row>
    <row r="128" spans="1:2" x14ac:dyDescent="0.15">
      <c r="A128">
        <v>189</v>
      </c>
      <c r="B128">
        <v>30</v>
      </c>
    </row>
    <row r="129" spans="1:2" x14ac:dyDescent="0.15">
      <c r="A129">
        <v>100</v>
      </c>
      <c r="B129">
        <v>31</v>
      </c>
    </row>
    <row r="130" spans="1:2" x14ac:dyDescent="0.15">
      <c r="A130">
        <v>19</v>
      </c>
      <c r="B130">
        <v>32</v>
      </c>
    </row>
    <row r="131" spans="1:2" x14ac:dyDescent="0.15">
      <c r="A131">
        <v>356</v>
      </c>
      <c r="B131">
        <v>33</v>
      </c>
    </row>
    <row r="132" spans="1:2" x14ac:dyDescent="0.15">
      <c r="A132">
        <v>357</v>
      </c>
      <c r="B132">
        <v>33</v>
      </c>
    </row>
    <row r="133" spans="1:2" x14ac:dyDescent="0.15">
      <c r="A133">
        <v>398</v>
      </c>
      <c r="B133">
        <v>33</v>
      </c>
    </row>
    <row r="134" spans="1:2" x14ac:dyDescent="0.15">
      <c r="A134">
        <v>399</v>
      </c>
      <c r="B134">
        <v>33</v>
      </c>
    </row>
    <row r="135" spans="1:2" x14ac:dyDescent="0.15">
      <c r="A135">
        <v>214</v>
      </c>
      <c r="B135">
        <v>34</v>
      </c>
    </row>
    <row r="136" spans="1:2" x14ac:dyDescent="0.15">
      <c r="A136">
        <v>215</v>
      </c>
      <c r="B136">
        <v>34</v>
      </c>
    </row>
    <row r="137" spans="1:2" x14ac:dyDescent="0.15">
      <c r="A137">
        <v>216</v>
      </c>
      <c r="B137">
        <v>34</v>
      </c>
    </row>
    <row r="138" spans="1:2" x14ac:dyDescent="0.15">
      <c r="A138">
        <v>25</v>
      </c>
      <c r="B138">
        <v>35</v>
      </c>
    </row>
    <row r="139" spans="1:2" x14ac:dyDescent="0.15">
      <c r="A139">
        <v>217</v>
      </c>
      <c r="B139">
        <v>36</v>
      </c>
    </row>
    <row r="140" spans="1:2" x14ac:dyDescent="0.15">
      <c r="A140">
        <v>218</v>
      </c>
      <c r="B140">
        <v>36</v>
      </c>
    </row>
    <row r="141" spans="1:2" x14ac:dyDescent="0.15">
      <c r="A141">
        <v>219</v>
      </c>
      <c r="B141">
        <v>36</v>
      </c>
    </row>
    <row r="142" spans="1:2" x14ac:dyDescent="0.15">
      <c r="A142">
        <v>220</v>
      </c>
      <c r="B142">
        <v>37</v>
      </c>
    </row>
    <row r="143" spans="1:2" x14ac:dyDescent="0.15">
      <c r="A143">
        <v>221</v>
      </c>
      <c r="B143">
        <v>37</v>
      </c>
    </row>
    <row r="144" spans="1:2" x14ac:dyDescent="0.15">
      <c r="A144">
        <v>222</v>
      </c>
      <c r="B144">
        <v>38</v>
      </c>
    </row>
    <row r="145" spans="1:2" x14ac:dyDescent="0.15">
      <c r="A145">
        <v>362</v>
      </c>
      <c r="B145">
        <v>39</v>
      </c>
    </row>
    <row r="146" spans="1:2" x14ac:dyDescent="0.15">
      <c r="A146">
        <v>363</v>
      </c>
      <c r="B146">
        <v>39</v>
      </c>
    </row>
    <row r="147" spans="1:2" x14ac:dyDescent="0.15">
      <c r="A147">
        <v>101</v>
      </c>
      <c r="B147">
        <v>40</v>
      </c>
    </row>
    <row r="148" spans="1:2" x14ac:dyDescent="0.15">
      <c r="A148">
        <v>350</v>
      </c>
      <c r="B148">
        <v>41</v>
      </c>
    </row>
    <row r="149" spans="1:2" x14ac:dyDescent="0.15">
      <c r="A149">
        <v>351</v>
      </c>
      <c r="B149">
        <v>42</v>
      </c>
    </row>
    <row r="150" spans="1:2" x14ac:dyDescent="0.15">
      <c r="A150">
        <v>223</v>
      </c>
      <c r="B150">
        <v>43</v>
      </c>
    </row>
    <row r="151" spans="1:2" x14ac:dyDescent="0.15">
      <c r="A151">
        <v>224</v>
      </c>
      <c r="B151">
        <v>43</v>
      </c>
    </row>
    <row r="152" spans="1:2" x14ac:dyDescent="0.15">
      <c r="A152">
        <v>225</v>
      </c>
      <c r="B152">
        <v>43</v>
      </c>
    </row>
    <row r="153" spans="1:2" x14ac:dyDescent="0.15">
      <c r="A153">
        <v>103</v>
      </c>
      <c r="B153">
        <v>44</v>
      </c>
    </row>
    <row r="154" spans="1:2" x14ac:dyDescent="0.15">
      <c r="A154">
        <v>104</v>
      </c>
      <c r="B154">
        <v>44</v>
      </c>
    </row>
    <row r="155" spans="1:2" x14ac:dyDescent="0.15">
      <c r="A155">
        <v>419</v>
      </c>
      <c r="B155">
        <v>44</v>
      </c>
    </row>
    <row r="156" spans="1:2" x14ac:dyDescent="0.15">
      <c r="A156">
        <v>420</v>
      </c>
      <c r="B156">
        <v>44</v>
      </c>
    </row>
    <row r="157" spans="1:2" x14ac:dyDescent="0.15">
      <c r="A157">
        <v>28</v>
      </c>
      <c r="B157">
        <v>45</v>
      </c>
    </row>
    <row r="158" spans="1:2" x14ac:dyDescent="0.15">
      <c r="A158">
        <v>31</v>
      </c>
      <c r="B158">
        <v>46</v>
      </c>
    </row>
    <row r="159" spans="1:2" x14ac:dyDescent="0.15">
      <c r="A159">
        <v>34</v>
      </c>
      <c r="B159">
        <v>47</v>
      </c>
    </row>
    <row r="160" spans="1:2" x14ac:dyDescent="0.15">
      <c r="A160">
        <v>365</v>
      </c>
      <c r="B160">
        <v>48</v>
      </c>
    </row>
    <row r="161" spans="1:2" x14ac:dyDescent="0.15">
      <c r="A161">
        <v>366</v>
      </c>
      <c r="B161">
        <v>48</v>
      </c>
    </row>
    <row r="162" spans="1:2" x14ac:dyDescent="0.15">
      <c r="A162">
        <v>247</v>
      </c>
      <c r="B162">
        <v>49</v>
      </c>
    </row>
    <row r="163" spans="1:2" x14ac:dyDescent="0.15">
      <c r="A163">
        <v>296</v>
      </c>
      <c r="B163">
        <v>49</v>
      </c>
    </row>
    <row r="164" spans="1:2" x14ac:dyDescent="0.15">
      <c r="A164">
        <v>297</v>
      </c>
      <c r="B164">
        <v>49</v>
      </c>
    </row>
    <row r="165" spans="1:2" x14ac:dyDescent="0.15">
      <c r="A165">
        <v>16</v>
      </c>
      <c r="B165">
        <v>50</v>
      </c>
    </row>
    <row r="166" spans="1:2" x14ac:dyDescent="0.15">
      <c r="A166">
        <v>37</v>
      </c>
      <c r="B166">
        <v>50</v>
      </c>
    </row>
    <row r="167" spans="1:2" x14ac:dyDescent="0.15">
      <c r="A167">
        <v>58</v>
      </c>
      <c r="B167">
        <v>50</v>
      </c>
    </row>
    <row r="168" spans="1:2" x14ac:dyDescent="0.15">
      <c r="A168">
        <v>79</v>
      </c>
      <c r="B168">
        <v>50</v>
      </c>
    </row>
    <row r="169" spans="1:2" x14ac:dyDescent="0.15">
      <c r="A169">
        <v>227</v>
      </c>
      <c r="B169">
        <v>51</v>
      </c>
    </row>
    <row r="170" spans="1:2" x14ac:dyDescent="0.15">
      <c r="A170">
        <v>248</v>
      </c>
      <c r="B170">
        <v>51</v>
      </c>
    </row>
    <row r="171" spans="1:2" x14ac:dyDescent="0.15">
      <c r="A171">
        <v>368</v>
      </c>
      <c r="B171">
        <v>52</v>
      </c>
    </row>
    <row r="172" spans="1:2" x14ac:dyDescent="0.15">
      <c r="A172">
        <v>369</v>
      </c>
      <c r="B172">
        <v>53</v>
      </c>
    </row>
    <row r="173" spans="1:2" x14ac:dyDescent="0.15">
      <c r="A173">
        <v>371</v>
      </c>
      <c r="B173">
        <v>54</v>
      </c>
    </row>
    <row r="174" spans="1:2" x14ac:dyDescent="0.15">
      <c r="A174">
        <v>372</v>
      </c>
      <c r="B174">
        <v>54</v>
      </c>
    </row>
    <row r="175" spans="1:2" x14ac:dyDescent="0.15">
      <c r="A175">
        <v>374</v>
      </c>
      <c r="B175">
        <v>55</v>
      </c>
    </row>
    <row r="176" spans="1:2" x14ac:dyDescent="0.15">
      <c r="A176">
        <v>40</v>
      </c>
      <c r="B176">
        <v>56</v>
      </c>
    </row>
    <row r="177" spans="1:2" x14ac:dyDescent="0.15">
      <c r="A177">
        <v>228</v>
      </c>
      <c r="B177">
        <v>57</v>
      </c>
    </row>
    <row r="178" spans="1:2" x14ac:dyDescent="0.15">
      <c r="A178">
        <v>249</v>
      </c>
      <c r="B178">
        <v>57</v>
      </c>
    </row>
    <row r="179" spans="1:2" x14ac:dyDescent="0.15">
      <c r="A179">
        <v>229</v>
      </c>
      <c r="B179">
        <v>58</v>
      </c>
    </row>
    <row r="180" spans="1:2" x14ac:dyDescent="0.15">
      <c r="A180">
        <v>230</v>
      </c>
      <c r="B180">
        <v>58</v>
      </c>
    </row>
    <row r="181" spans="1:2" x14ac:dyDescent="0.15">
      <c r="A181">
        <v>231</v>
      </c>
      <c r="B181">
        <v>59</v>
      </c>
    </row>
    <row r="182" spans="1:2" x14ac:dyDescent="0.15">
      <c r="A182">
        <v>375</v>
      </c>
      <c r="B182">
        <v>60</v>
      </c>
    </row>
    <row r="183" spans="1:2" x14ac:dyDescent="0.15">
      <c r="A183">
        <v>377</v>
      </c>
      <c r="B183">
        <v>61</v>
      </c>
    </row>
    <row r="184" spans="1:2" x14ac:dyDescent="0.15">
      <c r="A184">
        <v>378</v>
      </c>
      <c r="B184">
        <v>63</v>
      </c>
    </row>
    <row r="185" spans="1:2" x14ac:dyDescent="0.15">
      <c r="A185">
        <v>46</v>
      </c>
      <c r="B185">
        <v>64</v>
      </c>
    </row>
    <row r="186" spans="1:2" x14ac:dyDescent="0.15">
      <c r="A186">
        <v>180</v>
      </c>
      <c r="B186">
        <v>65</v>
      </c>
    </row>
    <row r="187" spans="1:2" x14ac:dyDescent="0.15">
      <c r="A187">
        <v>190</v>
      </c>
      <c r="B187">
        <v>65</v>
      </c>
    </row>
    <row r="188" spans="1:2" x14ac:dyDescent="0.15">
      <c r="A188">
        <v>49</v>
      </c>
      <c r="B188">
        <v>66</v>
      </c>
    </row>
    <row r="189" spans="1:2" x14ac:dyDescent="0.15">
      <c r="A189">
        <v>181</v>
      </c>
      <c r="B189">
        <v>67</v>
      </c>
    </row>
    <row r="190" spans="1:2" x14ac:dyDescent="0.15">
      <c r="A190">
        <v>182</v>
      </c>
      <c r="B190">
        <v>67</v>
      </c>
    </row>
    <row r="191" spans="1:2" x14ac:dyDescent="0.15">
      <c r="A191">
        <v>183</v>
      </c>
      <c r="B191">
        <v>67</v>
      </c>
    </row>
    <row r="192" spans="1:2" x14ac:dyDescent="0.15">
      <c r="A192">
        <v>232</v>
      </c>
      <c r="B192">
        <v>67</v>
      </c>
    </row>
    <row r="193" spans="1:2" x14ac:dyDescent="0.15">
      <c r="A193">
        <v>233</v>
      </c>
      <c r="B193">
        <v>67</v>
      </c>
    </row>
    <row r="194" spans="1:2" x14ac:dyDescent="0.15">
      <c r="A194">
        <v>234</v>
      </c>
      <c r="B194">
        <v>67</v>
      </c>
    </row>
    <row r="195" spans="1:2" x14ac:dyDescent="0.15">
      <c r="A195">
        <v>256</v>
      </c>
      <c r="B195">
        <v>68</v>
      </c>
    </row>
    <row r="196" spans="1:2" x14ac:dyDescent="0.15">
      <c r="A196">
        <v>257</v>
      </c>
      <c r="B196">
        <v>68</v>
      </c>
    </row>
    <row r="197" spans="1:2" x14ac:dyDescent="0.15">
      <c r="A197">
        <v>258</v>
      </c>
      <c r="B197">
        <v>68</v>
      </c>
    </row>
    <row r="198" spans="1:2" x14ac:dyDescent="0.15">
      <c r="A198">
        <v>52</v>
      </c>
      <c r="B198">
        <v>69</v>
      </c>
    </row>
    <row r="199" spans="1:2" x14ac:dyDescent="0.15">
      <c r="A199">
        <v>383</v>
      </c>
      <c r="B199">
        <v>70</v>
      </c>
    </row>
    <row r="200" spans="1:2" x14ac:dyDescent="0.15">
      <c r="A200">
        <v>384</v>
      </c>
      <c r="B200">
        <v>70</v>
      </c>
    </row>
    <row r="201" spans="1:2" x14ac:dyDescent="0.15">
      <c r="A201">
        <v>109</v>
      </c>
      <c r="B201">
        <v>71</v>
      </c>
    </row>
    <row r="202" spans="1:2" x14ac:dyDescent="0.15">
      <c r="A202">
        <v>110</v>
      </c>
      <c r="B202">
        <v>71</v>
      </c>
    </row>
    <row r="203" spans="1:2" x14ac:dyDescent="0.15">
      <c r="A203">
        <v>259</v>
      </c>
      <c r="B203">
        <v>72</v>
      </c>
    </row>
    <row r="204" spans="1:2" x14ac:dyDescent="0.15">
      <c r="A204">
        <v>260</v>
      </c>
      <c r="B204">
        <v>72</v>
      </c>
    </row>
    <row r="205" spans="1:2" x14ac:dyDescent="0.15">
      <c r="A205">
        <v>261</v>
      </c>
      <c r="B205">
        <v>72</v>
      </c>
    </row>
    <row r="206" spans="1:2" x14ac:dyDescent="0.15">
      <c r="A206">
        <v>386</v>
      </c>
      <c r="B206">
        <v>73</v>
      </c>
    </row>
    <row r="207" spans="1:2" x14ac:dyDescent="0.15">
      <c r="A207">
        <v>387</v>
      </c>
      <c r="B207">
        <v>73</v>
      </c>
    </row>
    <row r="208" spans="1:2" x14ac:dyDescent="0.15">
      <c r="A208">
        <v>389</v>
      </c>
      <c r="B208">
        <v>74</v>
      </c>
    </row>
    <row r="209" spans="1:2" x14ac:dyDescent="0.15">
      <c r="A209">
        <v>191</v>
      </c>
      <c r="B209">
        <v>75</v>
      </c>
    </row>
    <row r="210" spans="1:2" x14ac:dyDescent="0.15">
      <c r="A210">
        <v>192</v>
      </c>
      <c r="B210">
        <v>75</v>
      </c>
    </row>
    <row r="211" spans="1:2" x14ac:dyDescent="0.15">
      <c r="A211">
        <v>359</v>
      </c>
      <c r="B211">
        <v>75</v>
      </c>
    </row>
    <row r="212" spans="1:2" x14ac:dyDescent="0.15">
      <c r="A212">
        <v>360</v>
      </c>
      <c r="B212">
        <v>75</v>
      </c>
    </row>
    <row r="213" spans="1:2" x14ac:dyDescent="0.15">
      <c r="A213">
        <v>401</v>
      </c>
      <c r="B213">
        <v>75</v>
      </c>
    </row>
    <row r="214" spans="1:2" x14ac:dyDescent="0.15">
      <c r="A214">
        <v>402</v>
      </c>
      <c r="B214">
        <v>75</v>
      </c>
    </row>
    <row r="215" spans="1:2" x14ac:dyDescent="0.15">
      <c r="A215">
        <v>112</v>
      </c>
      <c r="B215">
        <v>76</v>
      </c>
    </row>
    <row r="216" spans="1:2" x14ac:dyDescent="0.15">
      <c r="A216">
        <v>113</v>
      </c>
      <c r="B216">
        <v>76</v>
      </c>
    </row>
    <row r="217" spans="1:2" x14ac:dyDescent="0.15">
      <c r="A217">
        <v>390</v>
      </c>
      <c r="B217">
        <v>76</v>
      </c>
    </row>
    <row r="218" spans="1:2" x14ac:dyDescent="0.15">
      <c r="A218">
        <v>262</v>
      </c>
      <c r="B218">
        <v>77</v>
      </c>
    </row>
    <row r="219" spans="1:2" x14ac:dyDescent="0.15">
      <c r="A219">
        <v>263</v>
      </c>
      <c r="B219">
        <v>77</v>
      </c>
    </row>
    <row r="220" spans="1:2" x14ac:dyDescent="0.15">
      <c r="A220">
        <v>264</v>
      </c>
      <c r="B220">
        <v>77</v>
      </c>
    </row>
    <row r="221" spans="1:2" x14ac:dyDescent="0.15">
      <c r="A221">
        <v>265</v>
      </c>
      <c r="B221">
        <v>77</v>
      </c>
    </row>
    <row r="222" spans="1:2" x14ac:dyDescent="0.15">
      <c r="A222">
        <v>266</v>
      </c>
      <c r="B222">
        <v>77</v>
      </c>
    </row>
    <row r="223" spans="1:2" x14ac:dyDescent="0.15">
      <c r="A223">
        <v>267</v>
      </c>
      <c r="B223">
        <v>77</v>
      </c>
    </row>
    <row r="224" spans="1:2" x14ac:dyDescent="0.15">
      <c r="A224">
        <v>268</v>
      </c>
      <c r="B224">
        <v>78</v>
      </c>
    </row>
    <row r="225" spans="1:2" x14ac:dyDescent="0.15">
      <c r="A225">
        <v>55</v>
      </c>
      <c r="B225">
        <v>79</v>
      </c>
    </row>
    <row r="226" spans="1:2" x14ac:dyDescent="0.15">
      <c r="A226">
        <v>392</v>
      </c>
      <c r="B226">
        <v>80</v>
      </c>
    </row>
    <row r="227" spans="1:2" x14ac:dyDescent="0.15">
      <c r="A227">
        <v>393</v>
      </c>
      <c r="B227">
        <v>80</v>
      </c>
    </row>
    <row r="228" spans="1:2" x14ac:dyDescent="0.15">
      <c r="A228">
        <v>404</v>
      </c>
      <c r="B228">
        <v>81</v>
      </c>
    </row>
    <row r="229" spans="1:2" x14ac:dyDescent="0.15">
      <c r="A229">
        <v>269</v>
      </c>
      <c r="B229">
        <v>82</v>
      </c>
    </row>
    <row r="230" spans="1:2" x14ac:dyDescent="0.15">
      <c r="A230">
        <v>61</v>
      </c>
      <c r="B230">
        <v>83</v>
      </c>
    </row>
    <row r="231" spans="1:2" x14ac:dyDescent="0.15">
      <c r="A231">
        <v>67</v>
      </c>
      <c r="B231">
        <v>84</v>
      </c>
    </row>
    <row r="232" spans="1:2" x14ac:dyDescent="0.15">
      <c r="A232">
        <v>70</v>
      </c>
      <c r="B232">
        <v>85</v>
      </c>
    </row>
    <row r="233" spans="1:2" x14ac:dyDescent="0.15">
      <c r="A233">
        <v>73</v>
      </c>
      <c r="B233">
        <v>86</v>
      </c>
    </row>
    <row r="234" spans="1:2" x14ac:dyDescent="0.15">
      <c r="A234">
        <v>407</v>
      </c>
      <c r="B234">
        <v>87</v>
      </c>
    </row>
    <row r="235" spans="1:2" x14ac:dyDescent="0.15">
      <c r="A235">
        <v>408</v>
      </c>
      <c r="B235">
        <v>87</v>
      </c>
    </row>
    <row r="236" spans="1:2" x14ac:dyDescent="0.15">
      <c r="A236">
        <v>274</v>
      </c>
      <c r="B236">
        <v>88</v>
      </c>
    </row>
    <row r="237" spans="1:2" x14ac:dyDescent="0.15">
      <c r="A237">
        <v>275</v>
      </c>
      <c r="B237">
        <v>88</v>
      </c>
    </row>
    <row r="238" spans="1:2" x14ac:dyDescent="0.15">
      <c r="A238">
        <v>276</v>
      </c>
      <c r="B238">
        <v>88</v>
      </c>
    </row>
    <row r="239" spans="1:2" x14ac:dyDescent="0.15">
      <c r="A239">
        <v>76</v>
      </c>
      <c r="B239">
        <v>89</v>
      </c>
    </row>
    <row r="240" spans="1:2" x14ac:dyDescent="0.15">
      <c r="A240">
        <v>421</v>
      </c>
      <c r="B240">
        <v>90</v>
      </c>
    </row>
    <row r="241" spans="1:2" x14ac:dyDescent="0.15">
      <c r="A241">
        <v>427</v>
      </c>
      <c r="B241">
        <v>90</v>
      </c>
    </row>
    <row r="242" spans="1:2" x14ac:dyDescent="0.15">
      <c r="A242">
        <v>433</v>
      </c>
      <c r="B242">
        <v>90</v>
      </c>
    </row>
    <row r="243" spans="1:2" x14ac:dyDescent="0.15">
      <c r="A243">
        <v>6</v>
      </c>
      <c r="B243">
        <v>91</v>
      </c>
    </row>
    <row r="244" spans="1:2" x14ac:dyDescent="0.15">
      <c r="A244">
        <v>48</v>
      </c>
      <c r="B244">
        <v>91</v>
      </c>
    </row>
    <row r="245" spans="1:2" x14ac:dyDescent="0.15">
      <c r="A245">
        <v>1</v>
      </c>
      <c r="B245">
        <v>92</v>
      </c>
    </row>
    <row r="246" spans="1:2" x14ac:dyDescent="0.15">
      <c r="A246">
        <v>43</v>
      </c>
      <c r="B246">
        <v>92</v>
      </c>
    </row>
    <row r="247" spans="1:2" x14ac:dyDescent="0.15">
      <c r="A247">
        <v>410</v>
      </c>
      <c r="B247">
        <v>93</v>
      </c>
    </row>
    <row r="248" spans="1:2" x14ac:dyDescent="0.15">
      <c r="A248">
        <v>411</v>
      </c>
      <c r="B248">
        <v>93</v>
      </c>
    </row>
    <row r="249" spans="1:2" x14ac:dyDescent="0.15">
      <c r="A249">
        <v>9</v>
      </c>
      <c r="B249">
        <v>95</v>
      </c>
    </row>
    <row r="250" spans="1:2" x14ac:dyDescent="0.15">
      <c r="A250">
        <v>51</v>
      </c>
      <c r="B250">
        <v>95</v>
      </c>
    </row>
    <row r="251" spans="1:2" x14ac:dyDescent="0.15">
      <c r="A251">
        <v>12</v>
      </c>
      <c r="B251">
        <v>96</v>
      </c>
    </row>
    <row r="252" spans="1:2" x14ac:dyDescent="0.15">
      <c r="A252">
        <v>54</v>
      </c>
      <c r="B252">
        <v>96</v>
      </c>
    </row>
    <row r="253" spans="1:2" x14ac:dyDescent="0.15">
      <c r="A253">
        <v>15</v>
      </c>
      <c r="B253">
        <v>97</v>
      </c>
    </row>
    <row r="254" spans="1:2" x14ac:dyDescent="0.15">
      <c r="A254">
        <v>57</v>
      </c>
      <c r="B254">
        <v>97</v>
      </c>
    </row>
    <row r="255" spans="1:2" x14ac:dyDescent="0.15">
      <c r="A255">
        <v>18</v>
      </c>
      <c r="B255">
        <v>98</v>
      </c>
    </row>
    <row r="256" spans="1:2" x14ac:dyDescent="0.15">
      <c r="A256">
        <v>60</v>
      </c>
      <c r="B256">
        <v>98</v>
      </c>
    </row>
    <row r="257" spans="1:2" x14ac:dyDescent="0.15">
      <c r="A257">
        <v>21</v>
      </c>
      <c r="B257">
        <v>99</v>
      </c>
    </row>
    <row r="258" spans="1:2" x14ac:dyDescent="0.15">
      <c r="A258">
        <v>63</v>
      </c>
      <c r="B258">
        <v>99</v>
      </c>
    </row>
    <row r="259" spans="1:2" x14ac:dyDescent="0.15">
      <c r="A259">
        <v>270</v>
      </c>
      <c r="B259">
        <v>100</v>
      </c>
    </row>
    <row r="260" spans="1:2" x14ac:dyDescent="0.15">
      <c r="A260">
        <v>271</v>
      </c>
      <c r="B260">
        <v>101</v>
      </c>
    </row>
    <row r="261" spans="1:2" x14ac:dyDescent="0.15">
      <c r="A261">
        <v>272</v>
      </c>
      <c r="B261">
        <v>101</v>
      </c>
    </row>
    <row r="262" spans="1:2" x14ac:dyDescent="0.15">
      <c r="A262">
        <v>273</v>
      </c>
      <c r="B262">
        <v>101</v>
      </c>
    </row>
    <row r="263" spans="1:2" x14ac:dyDescent="0.15">
      <c r="A263">
        <v>298</v>
      </c>
      <c r="B263">
        <v>102</v>
      </c>
    </row>
    <row r="264" spans="1:2" x14ac:dyDescent="0.15">
      <c r="A264">
        <v>299</v>
      </c>
      <c r="B264">
        <v>102</v>
      </c>
    </row>
    <row r="265" spans="1:2" x14ac:dyDescent="0.15">
      <c r="A265">
        <v>300</v>
      </c>
      <c r="B265">
        <v>102</v>
      </c>
    </row>
    <row r="266" spans="1:2" x14ac:dyDescent="0.15">
      <c r="A266">
        <v>301</v>
      </c>
      <c r="B266">
        <v>103</v>
      </c>
    </row>
    <row r="267" spans="1:2" x14ac:dyDescent="0.15">
      <c r="A267">
        <v>302</v>
      </c>
      <c r="B267">
        <v>103</v>
      </c>
    </row>
    <row r="268" spans="1:2" x14ac:dyDescent="0.15">
      <c r="A268">
        <v>303</v>
      </c>
      <c r="B268">
        <v>103</v>
      </c>
    </row>
    <row r="269" spans="1:2" x14ac:dyDescent="0.15">
      <c r="A269">
        <v>316</v>
      </c>
      <c r="B269">
        <v>103</v>
      </c>
    </row>
    <row r="270" spans="1:2" x14ac:dyDescent="0.15">
      <c r="A270">
        <v>317</v>
      </c>
      <c r="B270">
        <v>103</v>
      </c>
    </row>
    <row r="271" spans="1:2" x14ac:dyDescent="0.15">
      <c r="A271">
        <v>318</v>
      </c>
      <c r="B271">
        <v>103</v>
      </c>
    </row>
    <row r="272" spans="1:2" x14ac:dyDescent="0.15">
      <c r="A272">
        <v>304</v>
      </c>
      <c r="B272">
        <v>104</v>
      </c>
    </row>
    <row r="273" spans="1:2" x14ac:dyDescent="0.15">
      <c r="A273">
        <v>305</v>
      </c>
      <c r="B273">
        <v>104</v>
      </c>
    </row>
    <row r="274" spans="1:2" x14ac:dyDescent="0.15">
      <c r="A274">
        <v>306</v>
      </c>
      <c r="B274">
        <v>104</v>
      </c>
    </row>
    <row r="275" spans="1:2" x14ac:dyDescent="0.15">
      <c r="A275">
        <v>307</v>
      </c>
      <c r="B275">
        <v>105</v>
      </c>
    </row>
    <row r="276" spans="1:2" x14ac:dyDescent="0.15">
      <c r="A276">
        <v>308</v>
      </c>
      <c r="B276">
        <v>105</v>
      </c>
    </row>
    <row r="277" spans="1:2" x14ac:dyDescent="0.15">
      <c r="A277">
        <v>309</v>
      </c>
      <c r="B277">
        <v>105</v>
      </c>
    </row>
    <row r="278" spans="1:2" x14ac:dyDescent="0.15">
      <c r="A278">
        <v>310</v>
      </c>
      <c r="B278">
        <v>106</v>
      </c>
    </row>
    <row r="279" spans="1:2" x14ac:dyDescent="0.15">
      <c r="A279">
        <v>311</v>
      </c>
      <c r="B279">
        <v>106</v>
      </c>
    </row>
    <row r="280" spans="1:2" x14ac:dyDescent="0.15">
      <c r="A280">
        <v>312</v>
      </c>
      <c r="B280">
        <v>106</v>
      </c>
    </row>
    <row r="281" spans="1:2" x14ac:dyDescent="0.15">
      <c r="A281">
        <v>82</v>
      </c>
      <c r="B281">
        <v>107</v>
      </c>
    </row>
    <row r="282" spans="1:2" x14ac:dyDescent="0.15">
      <c r="A282">
        <v>313</v>
      </c>
      <c r="B282">
        <v>108</v>
      </c>
    </row>
    <row r="283" spans="1:2" x14ac:dyDescent="0.15">
      <c r="A283">
        <v>314</v>
      </c>
      <c r="B283">
        <v>108</v>
      </c>
    </row>
    <row r="284" spans="1:2" x14ac:dyDescent="0.15">
      <c r="A284">
        <v>315</v>
      </c>
      <c r="B284">
        <v>108</v>
      </c>
    </row>
    <row r="285" spans="1:2" x14ac:dyDescent="0.15">
      <c r="A285">
        <v>85</v>
      </c>
      <c r="B285">
        <v>109</v>
      </c>
    </row>
    <row r="286" spans="1:2" x14ac:dyDescent="0.15">
      <c r="A286">
        <v>106</v>
      </c>
      <c r="B286">
        <v>109</v>
      </c>
    </row>
    <row r="287" spans="1:2" x14ac:dyDescent="0.15">
      <c r="A287">
        <v>127</v>
      </c>
      <c r="B287">
        <v>109</v>
      </c>
    </row>
    <row r="288" spans="1:2" x14ac:dyDescent="0.15">
      <c r="A288">
        <v>148</v>
      </c>
      <c r="B288">
        <v>109</v>
      </c>
    </row>
    <row r="289" spans="1:2" x14ac:dyDescent="0.15">
      <c r="A289">
        <v>86</v>
      </c>
      <c r="B289">
        <v>110</v>
      </c>
    </row>
    <row r="290" spans="1:2" x14ac:dyDescent="0.15">
      <c r="A290">
        <v>115</v>
      </c>
      <c r="B290">
        <v>111</v>
      </c>
    </row>
    <row r="291" spans="1:2" x14ac:dyDescent="0.15">
      <c r="A291">
        <v>107</v>
      </c>
      <c r="B291">
        <v>112</v>
      </c>
    </row>
    <row r="292" spans="1:2" x14ac:dyDescent="0.15">
      <c r="A292">
        <v>149</v>
      </c>
      <c r="B292">
        <v>114</v>
      </c>
    </row>
    <row r="293" spans="1:2" x14ac:dyDescent="0.15">
      <c r="A293">
        <v>131</v>
      </c>
      <c r="B293">
        <v>115</v>
      </c>
    </row>
    <row r="294" spans="1:2" x14ac:dyDescent="0.15">
      <c r="A294">
        <v>22</v>
      </c>
      <c r="B294">
        <v>117</v>
      </c>
    </row>
    <row r="295" spans="1:2" x14ac:dyDescent="0.15">
      <c r="A295">
        <v>64</v>
      </c>
      <c r="B295">
        <v>117</v>
      </c>
    </row>
    <row r="296" spans="1:2" x14ac:dyDescent="0.15">
      <c r="A296">
        <v>337</v>
      </c>
      <c r="B296">
        <v>117</v>
      </c>
    </row>
    <row r="297" spans="1:2" x14ac:dyDescent="0.15">
      <c r="A297">
        <v>338</v>
      </c>
      <c r="B297">
        <v>117</v>
      </c>
    </row>
    <row r="298" spans="1:2" x14ac:dyDescent="0.15">
      <c r="A298">
        <v>339</v>
      </c>
      <c r="B298">
        <v>117</v>
      </c>
    </row>
    <row r="299" spans="1:2" x14ac:dyDescent="0.15">
      <c r="A299">
        <v>379</v>
      </c>
      <c r="B299">
        <v>117</v>
      </c>
    </row>
    <row r="300" spans="1:2" x14ac:dyDescent="0.15">
      <c r="A300">
        <v>380</v>
      </c>
      <c r="B300">
        <v>117</v>
      </c>
    </row>
    <row r="301" spans="1:2" x14ac:dyDescent="0.15">
      <c r="A301">
        <v>381</v>
      </c>
      <c r="B301">
        <v>117</v>
      </c>
    </row>
    <row r="302" spans="1:2" x14ac:dyDescent="0.15">
      <c r="A302">
        <v>116</v>
      </c>
      <c r="B302">
        <v>119</v>
      </c>
    </row>
    <row r="303" spans="1:2" x14ac:dyDescent="0.15">
      <c r="A303">
        <v>405</v>
      </c>
      <c r="B303">
        <v>119</v>
      </c>
    </row>
    <row r="304" spans="1:2" x14ac:dyDescent="0.15">
      <c r="A304">
        <v>118</v>
      </c>
      <c r="B304">
        <v>120</v>
      </c>
    </row>
    <row r="305" spans="1:2" x14ac:dyDescent="0.15">
      <c r="A305">
        <v>124</v>
      </c>
      <c r="B305">
        <v>121</v>
      </c>
    </row>
    <row r="306" spans="1:2" x14ac:dyDescent="0.15">
      <c r="A306">
        <v>119</v>
      </c>
      <c r="B306">
        <v>122</v>
      </c>
    </row>
    <row r="307" spans="1:2" x14ac:dyDescent="0.15">
      <c r="A307">
        <v>121</v>
      </c>
      <c r="B307">
        <v>123</v>
      </c>
    </row>
    <row r="308" spans="1:2" x14ac:dyDescent="0.15">
      <c r="A308">
        <v>122</v>
      </c>
      <c r="B308">
        <v>124</v>
      </c>
    </row>
    <row r="309" spans="1:2" x14ac:dyDescent="0.15">
      <c r="A309">
        <v>125</v>
      </c>
      <c r="B309">
        <v>125</v>
      </c>
    </row>
    <row r="310" spans="1:2" x14ac:dyDescent="0.15">
      <c r="A310">
        <v>133</v>
      </c>
      <c r="B310">
        <v>126</v>
      </c>
    </row>
    <row r="311" spans="1:2" x14ac:dyDescent="0.15">
      <c r="A311">
        <v>134</v>
      </c>
      <c r="B311">
        <v>127</v>
      </c>
    </row>
    <row r="312" spans="1:2" x14ac:dyDescent="0.15">
      <c r="A312">
        <v>413</v>
      </c>
      <c r="B312">
        <v>127</v>
      </c>
    </row>
    <row r="313" spans="1:2" x14ac:dyDescent="0.15">
      <c r="A313">
        <v>142</v>
      </c>
      <c r="B313">
        <v>128</v>
      </c>
    </row>
    <row r="314" spans="1:2" x14ac:dyDescent="0.15">
      <c r="A314">
        <v>414</v>
      </c>
      <c r="B314">
        <v>128</v>
      </c>
    </row>
    <row r="315" spans="1:2" x14ac:dyDescent="0.15">
      <c r="A315">
        <v>143</v>
      </c>
      <c r="B315">
        <v>129</v>
      </c>
    </row>
    <row r="316" spans="1:2" x14ac:dyDescent="0.15">
      <c r="A316">
        <v>136</v>
      </c>
      <c r="B316">
        <v>130</v>
      </c>
    </row>
    <row r="317" spans="1:2" x14ac:dyDescent="0.15">
      <c r="A317">
        <v>139</v>
      </c>
      <c r="B317">
        <v>131</v>
      </c>
    </row>
    <row r="318" spans="1:2" x14ac:dyDescent="0.15">
      <c r="A318">
        <v>140</v>
      </c>
      <c r="B318">
        <v>131</v>
      </c>
    </row>
    <row r="319" spans="1:2" x14ac:dyDescent="0.15">
      <c r="A319">
        <v>137</v>
      </c>
      <c r="B319">
        <v>132</v>
      </c>
    </row>
    <row r="320" spans="1:2" x14ac:dyDescent="0.15">
      <c r="A320">
        <v>416</v>
      </c>
      <c r="B320">
        <v>132</v>
      </c>
    </row>
    <row r="321" spans="1:2" x14ac:dyDescent="0.15">
      <c r="A321">
        <v>425</v>
      </c>
      <c r="B321">
        <v>133</v>
      </c>
    </row>
    <row r="322" spans="1:2" x14ac:dyDescent="0.15">
      <c r="A322">
        <v>431</v>
      </c>
      <c r="B322">
        <v>133</v>
      </c>
    </row>
    <row r="323" spans="1:2" x14ac:dyDescent="0.15">
      <c r="A323">
        <v>437</v>
      </c>
      <c r="B323">
        <v>133</v>
      </c>
    </row>
    <row r="324" spans="1:2" x14ac:dyDescent="0.15">
      <c r="A324">
        <v>440</v>
      </c>
      <c r="B324">
        <v>133</v>
      </c>
    </row>
    <row r="325" spans="1:2" x14ac:dyDescent="0.15">
      <c r="A325">
        <v>30</v>
      </c>
      <c r="B325">
        <v>134</v>
      </c>
    </row>
    <row r="326" spans="1:2" x14ac:dyDescent="0.15">
      <c r="A326">
        <v>72</v>
      </c>
      <c r="B326">
        <v>134</v>
      </c>
    </row>
    <row r="327" spans="1:2" x14ac:dyDescent="0.15">
      <c r="A327">
        <v>145</v>
      </c>
      <c r="B327">
        <v>135</v>
      </c>
    </row>
    <row r="328" spans="1:2" x14ac:dyDescent="0.15">
      <c r="A328">
        <v>146</v>
      </c>
      <c r="B328">
        <v>135</v>
      </c>
    </row>
    <row r="329" spans="1:2" x14ac:dyDescent="0.15">
      <c r="A329">
        <v>151</v>
      </c>
      <c r="B329">
        <v>136</v>
      </c>
    </row>
    <row r="330" spans="1:2" x14ac:dyDescent="0.15">
      <c r="A330">
        <v>152</v>
      </c>
      <c r="B330">
        <v>137</v>
      </c>
    </row>
    <row r="331" spans="1:2" x14ac:dyDescent="0.15">
      <c r="A331">
        <v>417</v>
      </c>
      <c r="B331">
        <v>137</v>
      </c>
    </row>
    <row r="332" spans="1:2" x14ac:dyDescent="0.15">
      <c r="A332">
        <v>154</v>
      </c>
      <c r="B332">
        <v>138</v>
      </c>
    </row>
    <row r="333" spans="1:2" x14ac:dyDescent="0.15">
      <c r="A333">
        <v>155</v>
      </c>
      <c r="B333">
        <v>138</v>
      </c>
    </row>
    <row r="334" spans="1:2" x14ac:dyDescent="0.15">
      <c r="A334">
        <v>157</v>
      </c>
      <c r="B334">
        <v>139</v>
      </c>
    </row>
    <row r="335" spans="1:2" x14ac:dyDescent="0.15">
      <c r="A335">
        <v>158</v>
      </c>
      <c r="B335">
        <v>140</v>
      </c>
    </row>
    <row r="336" spans="1:2" x14ac:dyDescent="0.15">
      <c r="A336">
        <v>163</v>
      </c>
      <c r="B336">
        <v>141</v>
      </c>
    </row>
    <row r="337" spans="1:2" x14ac:dyDescent="0.15">
      <c r="A337">
        <v>164</v>
      </c>
      <c r="B337">
        <v>142</v>
      </c>
    </row>
    <row r="338" spans="1:2" x14ac:dyDescent="0.15">
      <c r="A338">
        <v>160</v>
      </c>
      <c r="B338">
        <v>143</v>
      </c>
    </row>
    <row r="339" spans="1:2" x14ac:dyDescent="0.15">
      <c r="A339">
        <v>161</v>
      </c>
      <c r="B339">
        <v>143</v>
      </c>
    </row>
    <row r="340" spans="1:2" x14ac:dyDescent="0.15">
      <c r="A340">
        <v>166</v>
      </c>
      <c r="B340">
        <v>144</v>
      </c>
    </row>
    <row r="341" spans="1:2" x14ac:dyDescent="0.15">
      <c r="A341">
        <v>167</v>
      </c>
      <c r="B341">
        <v>144</v>
      </c>
    </row>
    <row r="342" spans="1:2" x14ac:dyDescent="0.15">
      <c r="A342">
        <v>33</v>
      </c>
      <c r="B342">
        <v>145</v>
      </c>
    </row>
    <row r="343" spans="1:2" x14ac:dyDescent="0.15">
      <c r="A343">
        <v>75</v>
      </c>
      <c r="B343">
        <v>145</v>
      </c>
    </row>
    <row r="344" spans="1:2" x14ac:dyDescent="0.15">
      <c r="A344">
        <v>36</v>
      </c>
      <c r="B344">
        <v>146</v>
      </c>
    </row>
    <row r="345" spans="1:2" x14ac:dyDescent="0.15">
      <c r="A345">
        <v>78</v>
      </c>
      <c r="B345">
        <v>146</v>
      </c>
    </row>
    <row r="346" spans="1:2" x14ac:dyDescent="0.15">
      <c r="A346">
        <v>39</v>
      </c>
      <c r="B346">
        <v>147</v>
      </c>
    </row>
    <row r="347" spans="1:2" x14ac:dyDescent="0.15">
      <c r="A347">
        <v>81</v>
      </c>
      <c r="B347">
        <v>147</v>
      </c>
    </row>
    <row r="348" spans="1:2" x14ac:dyDescent="0.15">
      <c r="A348">
        <v>3</v>
      </c>
      <c r="B348">
        <v>148</v>
      </c>
    </row>
    <row r="349" spans="1:2" x14ac:dyDescent="0.15">
      <c r="A349">
        <v>45</v>
      </c>
      <c r="B349">
        <v>148</v>
      </c>
    </row>
    <row r="350" spans="1:2" x14ac:dyDescent="0.15">
      <c r="A350">
        <v>42</v>
      </c>
      <c r="B350">
        <v>149</v>
      </c>
    </row>
    <row r="351" spans="1:2" x14ac:dyDescent="0.15">
      <c r="A351">
        <v>84</v>
      </c>
      <c r="B351">
        <v>149</v>
      </c>
    </row>
    <row r="352" spans="1:2" x14ac:dyDescent="0.15">
      <c r="A352">
        <v>24</v>
      </c>
      <c r="B352">
        <v>150</v>
      </c>
    </row>
    <row r="353" spans="1:2" x14ac:dyDescent="0.15">
      <c r="A353">
        <v>66</v>
      </c>
      <c r="B353">
        <v>150</v>
      </c>
    </row>
    <row r="354" spans="1:2" x14ac:dyDescent="0.15">
      <c r="A354">
        <v>27</v>
      </c>
      <c r="B354" t="s">
        <v>111</v>
      </c>
    </row>
    <row r="355" spans="1:2" x14ac:dyDescent="0.15">
      <c r="A355">
        <v>69</v>
      </c>
      <c r="B355" t="s">
        <v>112</v>
      </c>
    </row>
    <row r="356" spans="1:2" x14ac:dyDescent="0.15">
      <c r="A356">
        <v>128</v>
      </c>
      <c r="B356" t="s">
        <v>78</v>
      </c>
    </row>
    <row r="357" spans="1:2" x14ac:dyDescent="0.15">
      <c r="A357">
        <v>130</v>
      </c>
      <c r="B357" t="s">
        <v>80</v>
      </c>
    </row>
    <row r="358" spans="1:2" x14ac:dyDescent="0.15">
      <c r="A358">
        <v>343</v>
      </c>
      <c r="B358" t="s">
        <v>129</v>
      </c>
    </row>
    <row r="359" spans="1:2" x14ac:dyDescent="0.15">
      <c r="A359">
        <v>367</v>
      </c>
      <c r="B359" t="s">
        <v>129</v>
      </c>
    </row>
    <row r="360" spans="1:2" x14ac:dyDescent="0.15">
      <c r="A360">
        <v>346</v>
      </c>
      <c r="B360" t="s">
        <v>83</v>
      </c>
    </row>
    <row r="361" spans="1:2" x14ac:dyDescent="0.15">
      <c r="A361">
        <v>349</v>
      </c>
      <c r="B361" t="s">
        <v>84</v>
      </c>
    </row>
    <row r="362" spans="1:2" x14ac:dyDescent="0.15">
      <c r="A362">
        <v>352</v>
      </c>
      <c r="B362" t="s">
        <v>85</v>
      </c>
    </row>
    <row r="363" spans="1:2" x14ac:dyDescent="0.15">
      <c r="A363">
        <v>373</v>
      </c>
      <c r="B363" t="s">
        <v>90</v>
      </c>
    </row>
    <row r="364" spans="1:2" x14ac:dyDescent="0.15">
      <c r="A364">
        <v>355</v>
      </c>
      <c r="B364" t="s">
        <v>86</v>
      </c>
    </row>
    <row r="365" spans="1:2" x14ac:dyDescent="0.15">
      <c r="A365">
        <v>361</v>
      </c>
      <c r="B365" t="s">
        <v>87</v>
      </c>
    </row>
    <row r="366" spans="1:2" x14ac:dyDescent="0.15">
      <c r="A366">
        <v>364</v>
      </c>
      <c r="B366" t="s">
        <v>88</v>
      </c>
    </row>
    <row r="367" spans="1:2" x14ac:dyDescent="0.15">
      <c r="A367">
        <v>370</v>
      </c>
      <c r="B367" t="s">
        <v>89</v>
      </c>
    </row>
    <row r="368" spans="1:2" x14ac:dyDescent="0.15">
      <c r="A368">
        <v>376</v>
      </c>
      <c r="B368" t="s">
        <v>91</v>
      </c>
    </row>
    <row r="369" spans="1:2" x14ac:dyDescent="0.15">
      <c r="A369">
        <v>382</v>
      </c>
      <c r="B369" t="s">
        <v>92</v>
      </c>
    </row>
    <row r="370" spans="1:2" x14ac:dyDescent="0.15">
      <c r="A370">
        <v>385</v>
      </c>
      <c r="B370" t="s">
        <v>93</v>
      </c>
    </row>
    <row r="371" spans="1:2" x14ac:dyDescent="0.15">
      <c r="A371">
        <v>388</v>
      </c>
      <c r="B371" t="s">
        <v>94</v>
      </c>
    </row>
    <row r="372" spans="1:2" x14ac:dyDescent="0.15">
      <c r="A372">
        <v>391</v>
      </c>
      <c r="B372" t="s">
        <v>95</v>
      </c>
    </row>
    <row r="373" spans="1:2" x14ac:dyDescent="0.15">
      <c r="A373">
        <v>409</v>
      </c>
      <c r="B373" t="s">
        <v>99</v>
      </c>
    </row>
    <row r="374" spans="1:2" x14ac:dyDescent="0.15">
      <c r="A374">
        <v>397</v>
      </c>
      <c r="B374" t="s">
        <v>96</v>
      </c>
    </row>
    <row r="375" spans="1:2" x14ac:dyDescent="0.15">
      <c r="A375">
        <v>403</v>
      </c>
      <c r="B375" t="s">
        <v>97</v>
      </c>
    </row>
    <row r="376" spans="1:2" x14ac:dyDescent="0.15">
      <c r="A376">
        <v>406</v>
      </c>
      <c r="B376" t="s">
        <v>98</v>
      </c>
    </row>
    <row r="377" spans="1:2" x14ac:dyDescent="0.15">
      <c r="A377">
        <v>412</v>
      </c>
      <c r="B377" t="s">
        <v>100</v>
      </c>
    </row>
    <row r="378" spans="1:2" x14ac:dyDescent="0.15">
      <c r="A378">
        <v>415</v>
      </c>
      <c r="B378" t="s">
        <v>101</v>
      </c>
    </row>
    <row r="379" spans="1:2" x14ac:dyDescent="0.15">
      <c r="A379">
        <v>418</v>
      </c>
      <c r="B379" t="s">
        <v>102</v>
      </c>
    </row>
    <row r="380" spans="1:2" x14ac:dyDescent="0.15">
      <c r="A380">
        <v>10</v>
      </c>
      <c r="B380" t="s">
        <v>106</v>
      </c>
    </row>
    <row r="381" spans="1:2" x14ac:dyDescent="0.15">
      <c r="A381">
        <v>340</v>
      </c>
      <c r="B381" t="s">
        <v>82</v>
      </c>
    </row>
    <row r="382" spans="1:2" x14ac:dyDescent="0.15">
      <c r="A382">
        <v>439</v>
      </c>
      <c r="B382" t="s">
        <v>103</v>
      </c>
    </row>
    <row r="383" spans="1:2" x14ac:dyDescent="0.15">
      <c r="A383">
        <v>173</v>
      </c>
      <c r="B383" t="s">
        <v>113</v>
      </c>
    </row>
    <row r="384" spans="1:2" x14ac:dyDescent="0.15">
      <c r="A384">
        <v>174</v>
      </c>
      <c r="B384" t="s">
        <v>113</v>
      </c>
    </row>
    <row r="385" spans="1:2" x14ac:dyDescent="0.15">
      <c r="A385">
        <v>175</v>
      </c>
      <c r="B385" t="s">
        <v>0</v>
      </c>
    </row>
    <row r="386" spans="1:2" x14ac:dyDescent="0.15">
      <c r="A386">
        <v>176</v>
      </c>
      <c r="B386" t="s">
        <v>0</v>
      </c>
    </row>
    <row r="387" spans="1:2" x14ac:dyDescent="0.15">
      <c r="A387">
        <v>20</v>
      </c>
      <c r="B387" t="s">
        <v>110</v>
      </c>
    </row>
    <row r="388" spans="1:2" x14ac:dyDescent="0.15">
      <c r="A388">
        <v>62</v>
      </c>
      <c r="B388" t="s">
        <v>356</v>
      </c>
    </row>
    <row r="389" spans="1:2" x14ac:dyDescent="0.15">
      <c r="A389">
        <v>26</v>
      </c>
      <c r="B389" t="s">
        <v>325</v>
      </c>
    </row>
    <row r="390" spans="1:2" x14ac:dyDescent="0.15">
      <c r="A390">
        <v>47</v>
      </c>
      <c r="B390" t="s">
        <v>333</v>
      </c>
    </row>
    <row r="391" spans="1:2" x14ac:dyDescent="0.15">
      <c r="A391">
        <v>41</v>
      </c>
      <c r="B391" t="s">
        <v>330</v>
      </c>
    </row>
    <row r="392" spans="1:2" x14ac:dyDescent="0.15">
      <c r="A392">
        <v>35</v>
      </c>
      <c r="B392" t="s">
        <v>328</v>
      </c>
    </row>
    <row r="393" spans="1:2" x14ac:dyDescent="0.15">
      <c r="A393">
        <v>50</v>
      </c>
      <c r="B393" t="s">
        <v>335</v>
      </c>
    </row>
    <row r="394" spans="1:2" x14ac:dyDescent="0.15">
      <c r="A394">
        <v>53</v>
      </c>
      <c r="B394" t="s">
        <v>337</v>
      </c>
    </row>
    <row r="395" spans="1:2" x14ac:dyDescent="0.15">
      <c r="A395">
        <v>29</v>
      </c>
      <c r="B395" t="s">
        <v>326</v>
      </c>
    </row>
    <row r="396" spans="1:2" x14ac:dyDescent="0.15">
      <c r="A396">
        <v>56</v>
      </c>
      <c r="B396" t="s">
        <v>351</v>
      </c>
    </row>
    <row r="397" spans="1:2" x14ac:dyDescent="0.15">
      <c r="A397">
        <v>68</v>
      </c>
      <c r="B397" t="s">
        <v>334</v>
      </c>
    </row>
    <row r="398" spans="1:2" x14ac:dyDescent="0.15">
      <c r="A398">
        <v>32</v>
      </c>
      <c r="B398" t="s">
        <v>327</v>
      </c>
    </row>
    <row r="399" spans="1:2" x14ac:dyDescent="0.15">
      <c r="A399">
        <v>17</v>
      </c>
      <c r="B399" t="s">
        <v>109</v>
      </c>
    </row>
    <row r="400" spans="1:2" x14ac:dyDescent="0.15">
      <c r="A400">
        <v>74</v>
      </c>
      <c r="B400" t="s">
        <v>338</v>
      </c>
    </row>
    <row r="401" spans="1:2" x14ac:dyDescent="0.15">
      <c r="A401">
        <v>5</v>
      </c>
      <c r="B401" t="s">
        <v>104</v>
      </c>
    </row>
    <row r="402" spans="1:2" x14ac:dyDescent="0.15">
      <c r="A402">
        <v>77</v>
      </c>
      <c r="B402" t="s">
        <v>352</v>
      </c>
    </row>
    <row r="403" spans="1:2" x14ac:dyDescent="0.15">
      <c r="A403">
        <v>59</v>
      </c>
      <c r="B403" t="s">
        <v>353</v>
      </c>
    </row>
    <row r="404" spans="1:2" x14ac:dyDescent="0.15">
      <c r="A404">
        <v>14</v>
      </c>
      <c r="B404" t="s">
        <v>108</v>
      </c>
    </row>
    <row r="405" spans="1:2" x14ac:dyDescent="0.15">
      <c r="A405">
        <v>83</v>
      </c>
      <c r="B405" t="s">
        <v>357</v>
      </c>
    </row>
    <row r="406" spans="1:2" x14ac:dyDescent="0.15">
      <c r="A406">
        <v>71</v>
      </c>
      <c r="B406" t="s">
        <v>336</v>
      </c>
    </row>
    <row r="407" spans="1:2" x14ac:dyDescent="0.15">
      <c r="A407">
        <v>23</v>
      </c>
      <c r="B407" t="s">
        <v>324</v>
      </c>
    </row>
    <row r="408" spans="1:2" x14ac:dyDescent="0.15">
      <c r="A408">
        <v>65</v>
      </c>
      <c r="B408" t="s">
        <v>324</v>
      </c>
    </row>
    <row r="409" spans="1:2" x14ac:dyDescent="0.15">
      <c r="A409">
        <v>2</v>
      </c>
      <c r="B409" t="s">
        <v>332</v>
      </c>
    </row>
    <row r="410" spans="1:2" x14ac:dyDescent="0.15">
      <c r="A410">
        <v>44</v>
      </c>
      <c r="B410" t="s">
        <v>332</v>
      </c>
    </row>
    <row r="411" spans="1:2" x14ac:dyDescent="0.15">
      <c r="A411">
        <v>38</v>
      </c>
      <c r="B411" t="s">
        <v>329</v>
      </c>
    </row>
    <row r="412" spans="1:2" x14ac:dyDescent="0.15">
      <c r="A412">
        <v>8</v>
      </c>
      <c r="B412" t="s">
        <v>105</v>
      </c>
    </row>
    <row r="413" spans="1:2" x14ac:dyDescent="0.15">
      <c r="A413">
        <v>80</v>
      </c>
      <c r="B413" t="s">
        <v>354</v>
      </c>
    </row>
    <row r="414" spans="1:2" x14ac:dyDescent="0.15">
      <c r="A414">
        <v>11</v>
      </c>
      <c r="B414" t="s">
        <v>107</v>
      </c>
    </row>
    <row r="415" spans="1:2" x14ac:dyDescent="0.15">
      <c r="A415">
        <v>90</v>
      </c>
      <c r="B415" t="s">
        <v>372</v>
      </c>
    </row>
    <row r="416" spans="1:2" x14ac:dyDescent="0.15">
      <c r="A416">
        <v>111</v>
      </c>
      <c r="B416" t="s">
        <v>372</v>
      </c>
    </row>
    <row r="417" spans="1:2" x14ac:dyDescent="0.15">
      <c r="A417">
        <v>132</v>
      </c>
      <c r="B417" t="s">
        <v>372</v>
      </c>
    </row>
    <row r="418" spans="1:2" x14ac:dyDescent="0.15">
      <c r="A418">
        <v>153</v>
      </c>
      <c r="B418" t="s">
        <v>372</v>
      </c>
    </row>
    <row r="419" spans="1:2" x14ac:dyDescent="0.15">
      <c r="A419">
        <v>105</v>
      </c>
      <c r="B419" t="s">
        <v>360</v>
      </c>
    </row>
    <row r="420" spans="1:2" x14ac:dyDescent="0.15">
      <c r="A420">
        <v>126</v>
      </c>
      <c r="B420" t="s">
        <v>360</v>
      </c>
    </row>
    <row r="421" spans="1:2" x14ac:dyDescent="0.15">
      <c r="A421">
        <v>147</v>
      </c>
      <c r="B421" t="s">
        <v>360</v>
      </c>
    </row>
    <row r="422" spans="1:2" x14ac:dyDescent="0.15">
      <c r="A422">
        <v>168</v>
      </c>
      <c r="B422" t="s">
        <v>360</v>
      </c>
    </row>
    <row r="423" spans="1:2" x14ac:dyDescent="0.15">
      <c r="A423">
        <v>96</v>
      </c>
      <c r="B423" t="s">
        <v>376</v>
      </c>
    </row>
    <row r="424" spans="1:2" x14ac:dyDescent="0.15">
      <c r="A424">
        <v>117</v>
      </c>
      <c r="B424" t="s">
        <v>376</v>
      </c>
    </row>
    <row r="425" spans="1:2" x14ac:dyDescent="0.15">
      <c r="A425">
        <v>138</v>
      </c>
      <c r="B425" t="s">
        <v>376</v>
      </c>
    </row>
    <row r="426" spans="1:2" x14ac:dyDescent="0.15">
      <c r="A426">
        <v>159</v>
      </c>
      <c r="B426" t="s">
        <v>376</v>
      </c>
    </row>
    <row r="427" spans="1:2" x14ac:dyDescent="0.15">
      <c r="A427">
        <v>93</v>
      </c>
      <c r="B427" t="s">
        <v>374</v>
      </c>
    </row>
    <row r="428" spans="1:2" x14ac:dyDescent="0.15">
      <c r="A428">
        <v>114</v>
      </c>
      <c r="B428" t="s">
        <v>374</v>
      </c>
    </row>
    <row r="429" spans="1:2" x14ac:dyDescent="0.15">
      <c r="A429">
        <v>135</v>
      </c>
      <c r="B429" t="s">
        <v>374</v>
      </c>
    </row>
    <row r="430" spans="1:2" x14ac:dyDescent="0.15">
      <c r="A430">
        <v>156</v>
      </c>
      <c r="B430" t="s">
        <v>374</v>
      </c>
    </row>
    <row r="431" spans="1:2" x14ac:dyDescent="0.15">
      <c r="A431">
        <v>99</v>
      </c>
      <c r="B431" t="s">
        <v>378</v>
      </c>
    </row>
    <row r="432" spans="1:2" x14ac:dyDescent="0.15">
      <c r="A432">
        <v>120</v>
      </c>
      <c r="B432" t="s">
        <v>378</v>
      </c>
    </row>
    <row r="433" spans="1:2" x14ac:dyDescent="0.15">
      <c r="A433">
        <v>141</v>
      </c>
      <c r="B433" t="s">
        <v>378</v>
      </c>
    </row>
    <row r="434" spans="1:2" x14ac:dyDescent="0.15">
      <c r="A434">
        <v>162</v>
      </c>
      <c r="B434" t="s">
        <v>378</v>
      </c>
    </row>
    <row r="435" spans="1:2" x14ac:dyDescent="0.15">
      <c r="A435">
        <v>102</v>
      </c>
      <c r="B435" t="s">
        <v>380</v>
      </c>
    </row>
    <row r="436" spans="1:2" x14ac:dyDescent="0.15">
      <c r="A436">
        <v>123</v>
      </c>
      <c r="B436" t="s">
        <v>380</v>
      </c>
    </row>
    <row r="437" spans="1:2" x14ac:dyDescent="0.15">
      <c r="A437">
        <v>144</v>
      </c>
      <c r="B437" t="s">
        <v>380</v>
      </c>
    </row>
    <row r="438" spans="1:2" x14ac:dyDescent="0.15">
      <c r="A438">
        <v>165</v>
      </c>
      <c r="B438" t="s">
        <v>380</v>
      </c>
    </row>
    <row r="439" spans="1:2" x14ac:dyDescent="0.15">
      <c r="A439">
        <v>87</v>
      </c>
      <c r="B439" t="s">
        <v>370</v>
      </c>
    </row>
    <row r="440" spans="1:2" x14ac:dyDescent="0.15">
      <c r="A440">
        <v>108</v>
      </c>
      <c r="B440" t="s">
        <v>370</v>
      </c>
    </row>
    <row r="441" spans="1:2" x14ac:dyDescent="0.15">
      <c r="A441">
        <v>129</v>
      </c>
      <c r="B441" t="s">
        <v>370</v>
      </c>
    </row>
    <row r="442" spans="1:2" x14ac:dyDescent="0.15">
      <c r="A442">
        <v>150</v>
      </c>
      <c r="B442" t="s">
        <v>370</v>
      </c>
    </row>
  </sheetData>
  <autoFilter ref="A1:B442" xr:uid="{00000000-0009-0000-0000-00000C000000}"/>
  <sortState xmlns:xlrd2="http://schemas.microsoft.com/office/spreadsheetml/2017/richdata2" ref="A2:B442">
    <sortCondition ref="B3:B442"/>
  </sortState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Vigiles R</vt:lpstr>
      <vt:lpstr>Laudes R</vt:lpstr>
      <vt:lpstr>MdJ R</vt:lpstr>
      <vt:lpstr>Vêpres R</vt:lpstr>
      <vt:lpstr>Comp R</vt:lpstr>
      <vt:lpstr>TO R</vt:lpstr>
      <vt:lpstr>TO G</vt:lpstr>
      <vt:lpstr>TO G Vig+MDJ</vt:lpstr>
      <vt:lpstr>Carême G</vt:lpstr>
      <vt:lpstr>Oct. pasc R+G</vt:lpstr>
      <vt:lpstr>TPG Travail</vt:lpstr>
      <vt:lpstr>TP G</vt:lpstr>
      <vt:lpstr>Asc.-Pentecôte</vt:lpstr>
      <vt:lpstr>1962</vt:lpstr>
      <vt:lpstr>1962 (2)</vt:lpstr>
      <vt:lpstr>TO G (2)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Blandino</dc:creator>
  <cp:lastModifiedBy>fr. Jean-Baptiste</cp:lastModifiedBy>
  <cp:lastPrinted>2018-05-28T12:41:18Z</cp:lastPrinted>
  <dcterms:created xsi:type="dcterms:W3CDTF">2015-05-28T13:39:52Z</dcterms:created>
  <dcterms:modified xsi:type="dcterms:W3CDTF">2026-01-10T16:07:22Z</dcterms:modified>
</cp:coreProperties>
</file>